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" sheetId="1" r:id="rId5"/>
    <sheet state="visible" name="WATER " sheetId="2" r:id="rId6"/>
    <sheet state="visible" name="GSTIN " sheetId="3" r:id="rId7"/>
    <sheet state="visible" name="Sheet6" sheetId="4" r:id="rId8"/>
    <sheet state="visible" name="Plan for Tpt." sheetId="5" r:id="rId9"/>
    <sheet state="visible" name="Clossing Invoice March 26" sheetId="6" r:id="rId10"/>
  </sheets>
  <definedNames>
    <definedName hidden="1" localSheetId="1" name="_xlnm._FilterDatabase">'WATER '!$A$437:$BD$455</definedName>
    <definedName hidden="1" localSheetId="2" name="_xlnm._FilterDatabase">'GSTIN '!$A$1:$Z$52</definedName>
    <definedName hidden="1" localSheetId="5" name="_xlnm._FilterDatabase">'Clossing Invoice March 26'!$A$2:$Z$64</definedName>
  </definedNames>
  <calcPr/>
</workbook>
</file>

<file path=xl/sharedStrings.xml><?xml version="1.0" encoding="utf-8"?>
<sst xmlns="http://schemas.openxmlformats.org/spreadsheetml/2006/main" count="7526" uniqueCount="1213">
  <si>
    <t>Dispatch Date</t>
  </si>
  <si>
    <t>Invoice Date</t>
  </si>
  <si>
    <t>Party</t>
  </si>
  <si>
    <t>Location</t>
  </si>
  <si>
    <t>State</t>
  </si>
  <si>
    <t>Invoice No.</t>
  </si>
  <si>
    <t>Jivo Mart Invoice</t>
  </si>
  <si>
    <t>Bilty No.</t>
  </si>
  <si>
    <t>Vehicle No.</t>
  </si>
  <si>
    <t>Transport Name</t>
  </si>
  <si>
    <t>Mobile No</t>
  </si>
  <si>
    <t>Oil LTR</t>
  </si>
  <si>
    <t xml:space="preserve">KANTA WEIGHT </t>
  </si>
  <si>
    <t>Prority</t>
  </si>
  <si>
    <t>Freight</t>
  </si>
  <si>
    <t xml:space="preserve">Total Freight </t>
  </si>
  <si>
    <t>Remarks</t>
  </si>
  <si>
    <t>30-03-2026</t>
  </si>
  <si>
    <t>CHIRAG ENTERPRISES MUMBAI</t>
  </si>
  <si>
    <t>ANJUR MANKOLI ROAD DAPODA ROAD BHIWANDI-421302 IN</t>
  </si>
  <si>
    <t>MH</t>
  </si>
  <si>
    <t>RJ09GB9203</t>
  </si>
  <si>
    <t>Bombey Sri Nagar</t>
  </si>
  <si>
    <t>31-03-2026</t>
  </si>
  <si>
    <t>25-03-2026</t>
  </si>
  <si>
    <t>RK World</t>
  </si>
  <si>
    <t>EMPORIUM INDUSTRIAL PARKS INDIA PVT LTD, ESR SOHNA LOGISTICS PARK, VILLAGE RAHAKA, GURUGRAM, HARYANA, 122103, India</t>
  </si>
  <si>
    <t>Haryana</t>
  </si>
  <si>
    <t>626030423, 626030436, 626030514</t>
  </si>
  <si>
    <t>NA</t>
  </si>
  <si>
    <t>HR69F9627</t>
  </si>
  <si>
    <t>Jivo Vehicle</t>
  </si>
  <si>
    <t>Lucky- 8130168713</t>
  </si>
  <si>
    <t>625BWNLI</t>
  </si>
  <si>
    <t>Appointment date : 01/04/2026 04:00 PM IST</t>
  </si>
  <si>
    <t>821UEL5T</t>
  </si>
  <si>
    <t>SURESH JUTTUR SHETTY P/O VASAVI ENTERPRISES</t>
  </si>
  <si>
    <t>FIRST FLOOR, F 78, VALMIK BUSINESS CENTRE, BAINA, VASCO, SOUTH GOA, SOUTH GOA, GOA, 403802, SOUTH GOA-403802 IN</t>
  </si>
  <si>
    <t>Goa</t>
  </si>
  <si>
    <t>JIV5</t>
  </si>
  <si>
    <t>HR74C3162</t>
  </si>
  <si>
    <t>Abhiman Express</t>
  </si>
  <si>
    <t>SHREE GANESH ENTERPRISES</t>
  </si>
  <si>
    <t>PURNEA PATRA BELORI KATIHAR S H P.S BIHAR-854301 IN</t>
  </si>
  <si>
    <t>Bihar</t>
  </si>
  <si>
    <t>JIV6</t>
  </si>
  <si>
    <t>BR06GF7995</t>
  </si>
  <si>
    <t>ARJUN DASS &amp; SONS PUNJAB NEW</t>
  </si>
  <si>
    <t>RAILWAY ROAD KHANNA-141401 IN</t>
  </si>
  <si>
    <t>Punjab</t>
  </si>
  <si>
    <t>HR67F7934</t>
  </si>
  <si>
    <t>Delhi Punjab</t>
  </si>
  <si>
    <t>RAJ MATA TRADERS LAXMI NAGAR</t>
  </si>
  <si>
    <t>, G 43 NEAR WALIA NARSING HOME, SUBHASH CHOWK LAXMI NAGAR, NEW DELHI, DELHI, 110092, India</t>
  </si>
  <si>
    <t>Delhi</t>
  </si>
  <si>
    <t>DL01LY5728</t>
  </si>
  <si>
    <t>Arnav Transport</t>
  </si>
  <si>
    <t>G PURE INDIA</t>
  </si>
  <si>
    <t>OLD GRAIN MARKET JAGRAN SHOP NO 662 LUDHIANA-142026 IN</t>
  </si>
  <si>
    <t>HR67E9670</t>
  </si>
  <si>
    <t>R K WorldInfocom Pvt Ltd</t>
  </si>
  <si>
    <t>KHASRA NO 42//25/3, 53//1 2 3 8 9 10 26 54//5/2/21 5/2/2/3 6/1/1, VILLAGE DHATURI, SONIPAT, HARYANA, 131039, India</t>
  </si>
  <si>
    <t>626030513, 626030437, 626030434</t>
  </si>
  <si>
    <t>HR69E9959</t>
  </si>
  <si>
    <t xml:space="preserve">Jivo Vehicle </t>
  </si>
  <si>
    <t>6RUKP92Y</t>
  </si>
  <si>
    <t>Appointment date : 02/04/2026 12:30 PM IST</t>
  </si>
  <si>
    <t>JIVO MART PVT LTD</t>
  </si>
  <si>
    <t>2ND BASEMENT INDUSTRIAL AREA, PHASE 1 MAYAPURI, 110064</t>
  </si>
  <si>
    <t>DL01MB2623</t>
  </si>
  <si>
    <t>GAGAN 8146140596</t>
  </si>
  <si>
    <t>Dispatch on 01-04-2026</t>
  </si>
  <si>
    <t>26-03-2026</t>
  </si>
  <si>
    <t>B S A ENGINERING LLP</t>
  </si>
  <si>
    <t>F3 GURUDWARA, RAJOURI GARDEN MARG, NEW  DELHI, 110027, India</t>
  </si>
  <si>
    <t xml:space="preserve">NA </t>
  </si>
  <si>
    <t>HR424618</t>
  </si>
  <si>
    <t xml:space="preserve">SELF PICKUP </t>
  </si>
  <si>
    <t>JIVO WELNESS PVT LTD - PB</t>
  </si>
  <si>
    <t>RAILWAY ROAD DORHA LUDHIANA, PUNJAB, 141421, INDIA</t>
  </si>
  <si>
    <t>HR67D2565</t>
  </si>
  <si>
    <t>RAGHAV MARKETING GUWAHATI</t>
  </si>
  <si>
    <t>FANCY BAZAR B G TOWER T R P ROAD GUWAHATI-781001 IN</t>
  </si>
  <si>
    <t>Assam</t>
  </si>
  <si>
    <t>DL01LAB7109</t>
  </si>
  <si>
    <t xml:space="preserve">PICK &amp; SHIP </t>
  </si>
  <si>
    <t>28-03-2026</t>
  </si>
  <si>
    <t>SURVEY NO. 56/1 56/3 60/1 60/5 60/6 60/7 11/2 11/3 10/1 10/4 10/2, DODDENAHALLI AND ANAONAHALLI VILLAGE NANDAGUDI HOSKOTE, BENGALURU, KARNATAKA, 562122, India</t>
  </si>
  <si>
    <t>KA</t>
  </si>
  <si>
    <t>626030472, 626030482, 626030518</t>
  </si>
  <si>
    <t>3RNBBVSD</t>
  </si>
  <si>
    <t>Dispatch on 02-04-2026</t>
  </si>
  <si>
    <t>OM PARKASH SUNIL KUMAR</t>
  </si>
  <si>
    <t>OM PARKASH SUNIL KUMAR TEHSIL ROAD, TOHANA FATEHABAD HARYANA, FATEHABAD, HARYANA, 125120, India</t>
  </si>
  <si>
    <t>HR67E7648</t>
  </si>
  <si>
    <t>626030484, 626030486</t>
  </si>
  <si>
    <t>HR69E4548</t>
  </si>
  <si>
    <t>5V1WTYXE</t>
  </si>
  <si>
    <t>Appointment date 03/04/2026 08:30 AM IST</t>
  </si>
  <si>
    <t>626030484, 626030486, 626030516</t>
  </si>
  <si>
    <t>5WS5LXEM</t>
  </si>
  <si>
    <t>B.NARAIN &amp; CO.</t>
  </si>
  <si>
    <t>589 GHEE BAZAR, RAILWAYPURA, AHMEDABAD, GUJARAT, 380002, India</t>
  </si>
  <si>
    <t>GJ</t>
  </si>
  <si>
    <t>RJ14GQ0403</t>
  </si>
  <si>
    <t>AMBE ENTERPRISES SURAT</t>
  </si>
  <si>
    <t>BHATAR B 2 SAINATH SOCIETY ALTHAN ROAD NEAR CNG PUMP SURAT-395002 IN</t>
  </si>
  <si>
    <t>EVARA ENTERPRISES</t>
  </si>
  <si>
    <t>NEAR SINGH MOTORS MALERKOTLA ROAD, VILLAGE SARINH, LUDHIANA, PUNJAB, 141116, India</t>
  </si>
  <si>
    <t>HR67C8170</t>
  </si>
  <si>
    <t>Prince 7526993223</t>
  </si>
  <si>
    <t>Dispatch on 3-04-2026</t>
  </si>
  <si>
    <t>ILAHI CO. (BTCPN5063N)</t>
  </si>
  <si>
    <t>NEHRU MARKET RAJOURI GARDEN J-3/190 NEW DELHI-110027 IN</t>
  </si>
  <si>
    <t>DL01LAN4204</t>
  </si>
  <si>
    <t>M/S FOOD MONDE</t>
  </si>
  <si>
    <t>SHOP NO.71/156,I MANDI,, SHOP NO 71 156 PREM NAGAR CHOTI SUBZI MANDI, DELHI, 110058, India</t>
  </si>
  <si>
    <t>Emporium Industrial Park India Pvt Ltd ESR Sohna Logistics Park, Village Rahaka GURUGRAM 122103 India</t>
  </si>
  <si>
    <t>626030455, 626030458</t>
  </si>
  <si>
    <t>HR69F6098</t>
  </si>
  <si>
    <t>2BEOGRUI</t>
  </si>
  <si>
    <t>Appointment date 05/04/2026 08:30 AM IST</t>
  </si>
  <si>
    <t>SHRAY FOOD &amp; BEVERAGES PRIVATE LIMITED</t>
  </si>
  <si>
    <t>Y-26, OKHLA INDUSTRIAL AREA,PHASE-2,NEW DELHI, SOUTH EAST DELHI, DELHI, NEW DELHI, DELHI, 110020, India</t>
  </si>
  <si>
    <t>DL01LAM1528</t>
  </si>
  <si>
    <t>AGGARWAL AGENCIES</t>
  </si>
  <si>
    <t>A-6W HIMGIRI ENCLAVE, NEAR TRANSPORT AUTHORITY BURARI, DELHI, DELHI, 110084, India</t>
  </si>
  <si>
    <t>DL01LX3089</t>
  </si>
  <si>
    <t>SAI TRADERS LUDHIANA</t>
  </si>
  <si>
    <t>GODOWN BANK STREET DORAHA, LUDHIANA, PUNJAB, 141421, India</t>
  </si>
  <si>
    <t>PB10JT9874</t>
  </si>
  <si>
    <t>RCM Logistics</t>
  </si>
  <si>
    <t>80592 31550</t>
  </si>
  <si>
    <t>ROYAL SUPER SALES GANGANAGAR</t>
  </si>
  <si>
    <t>SHOP NO D 13, BADA BAZAR, SRI GANGANAGAR, GANGANAGAR, RAJASTHAN, 335001, India</t>
  </si>
  <si>
    <t>RJ</t>
  </si>
  <si>
    <t>HR67D7636</t>
  </si>
  <si>
    <t>Mahadev Tempo</t>
  </si>
  <si>
    <t>RAVI COSMETICS</t>
  </si>
  <si>
    <t>GROUND PLOT NO 278 DSIDC PKT H, SECTOR 3 CENTURY POLYMERS BAWANA INDUSTRIAL AREA, NEW DELHI, DL, IN</t>
  </si>
  <si>
    <t>DL01MB4752</t>
  </si>
  <si>
    <t>Bhargave Road Carrier</t>
  </si>
  <si>
    <t>ANTIZE FOODS PRIVATE LIMITED</t>
  </si>
  <si>
    <t>KH No. 393-394 , 404-406 Extended Lal Dora Village Alipur 110036</t>
  </si>
  <si>
    <t>DL01GE4594</t>
  </si>
  <si>
    <t>DISPATCH ON 04-04-2026</t>
  </si>
  <si>
    <t>PARASNATH COMPLEX, ANJUR MANKOLI ROAD DAPODA ROAD, BHIWANDI, MAHARASHTRA, 421302, India</t>
  </si>
  <si>
    <t>HR67F0911</t>
  </si>
  <si>
    <t>DL01MA6176</t>
  </si>
  <si>
    <t>5D82Q62O</t>
  </si>
  <si>
    <t>Appointment date 05/04/2026 04:00 PM IST</t>
  </si>
  <si>
    <t>4QFCUKRQ</t>
  </si>
  <si>
    <t>626030443, 626030445</t>
  </si>
  <si>
    <t>1FZF3RTQ</t>
  </si>
  <si>
    <t>KHASRA NO.20//11/2/3 12 19 20/1/2 21 22 39//1 2/2, 29 10 11 12 13 18 19 20 21 23/1 24/1 41//4/1/1, VILLAGE BIGHAN, SONIPAT, HARYANA, 131039, India</t>
  </si>
  <si>
    <t>3QMZLXZQ</t>
  </si>
  <si>
    <t>Appointment date 05/04/2026 12:45 PM IST</t>
  </si>
  <si>
    <t>B 300B HADBAST NO 273, NIMANA ROAD METL DADRI TOE, DADRI TOE, HARYANA, 124103, India</t>
  </si>
  <si>
    <t>626030444, 626030446</t>
  </si>
  <si>
    <t>3ADWMC6S</t>
  </si>
  <si>
    <t>Appointment date 06/04/2026 12:30 PM IST</t>
  </si>
  <si>
    <t>13UE2TAD</t>
  </si>
  <si>
    <t>Appointment date 06/04/2026 04:00 pM IST</t>
  </si>
  <si>
    <t>PURE AGROCHEM CORPORATION</t>
  </si>
  <si>
    <t>G 10 VARDHMAN FORTUNE MALL GTK ROAD, NEW DELHI, DELHI, 110033, India</t>
  </si>
  <si>
    <t>DL1GE5377</t>
  </si>
  <si>
    <t>OJAS TRADERS</t>
  </si>
  <si>
    <t>VILLAGE BADLI LANDMARK, NEAR LAXMI DHARM KANTA NEAR GARHWAL BAKERY DELHI, NEW DELHI, DELHI, 110042, India</t>
  </si>
  <si>
    <t>SUSTAINQUEST PRIVATE LIMITED</t>
  </si>
  <si>
    <t>KHASRA NO 10//22/1 22/3/2 19/1 2/1/1 10/1/2, REVENUE ESTATE OF FATEHPUR TAORU, MEWAT, HARYANA, 122105, India</t>
  </si>
  <si>
    <t>VIJENDER KUMAR GAURAV KUMAR JAIN</t>
  </si>
  <si>
    <t>163 SADAR, GANJ BAZAR, MEERUT CANTT, MEERUT, UTTAR PRADESH, 250001, India</t>
  </si>
  <si>
    <t>UP</t>
  </si>
  <si>
    <t>DL01LAE3989</t>
  </si>
  <si>
    <t>KNOWTABLE ONLINE SERVICES PRIVATE LIMITED</t>
  </si>
  <si>
    <t>NO 749/1 GROUND FLOOR, 1ST PHASE BETTADASANAPURA MAIN ROAD, ELECTRICITY CITY POST, BENGALURU, KARNATAKA, 560100, India</t>
  </si>
  <si>
    <t>RJ11GB4945</t>
  </si>
  <si>
    <t>GODOWN 6, A3 PARASNATH COMPLEX, ANJUR MANKOLI ROAD DAPODA ROAD, BHIWANDI, MAHARASHTRA, 421302, India</t>
  </si>
  <si>
    <t>HR61E9991</t>
  </si>
  <si>
    <t>Priya Road Carrier</t>
  </si>
  <si>
    <t>NILKANTH ENTERPRISE</t>
  </si>
  <si>
    <t>A 11, CITY CENTRE OPPOSITE EIDGAH MASJID  NEAR GUJARAT, IDGAH CIRCLE ASARWA, AHMEDABAD, GUJARAT, 380016, India</t>
  </si>
  <si>
    <t>JIV7</t>
  </si>
  <si>
    <t>RAM DASS PRITAM SINGH</t>
  </si>
  <si>
    <t>124, CHHOTA BAZAR, SHAHDARA, EAST DELHI, NEW DELHI, DELHI, 110032, India</t>
  </si>
  <si>
    <t>SAKSHI SALES</t>
  </si>
  <si>
    <t>DAIRY FARM NEW DELHI EAST DELHI DELHI, G/F C-64 GALI NO- 02 SHYAM SWEETS GAZIPUR, DELHI, 110096, India</t>
  </si>
  <si>
    <t>BACHAN SINGH KULJIT SINGH (IVEPS8273L)</t>
  </si>
  <si>
    <t>SHOP NO.9 OLD GHASS MANDI ROAD SHARMA TIMBER, TRADERS NEAR KEWAL KRISHAN MIGLANI GAUSHALA, AMBALA, AMBALA, HARYANA,134003, India</t>
  </si>
  <si>
    <t>PB10JM1647</t>
  </si>
  <si>
    <t>PENDING BILL TO BE PROVIDE</t>
  </si>
  <si>
    <t>Ye stock physicaly nahi bhejna only paper bhejna hai</t>
  </si>
  <si>
    <t>DO NOT DISPATCH</t>
  </si>
  <si>
    <t>M S ABNASH &amp; BROS</t>
  </si>
  <si>
    <t>JANTA MARKET RAILWAY ROAD KAITHAL, KAITHAL HARYANA, KAITHAL, HARYANA, 136027, India</t>
  </si>
  <si>
    <t>HR67F8513</t>
  </si>
  <si>
    <t>SHIV SHAKTI ENTERPRISES TELANGANA</t>
  </si>
  <si>
    <t>21 91UTTAM NAGAR MALKAJGIRI SECUNDRABAD, HYDERABAD, TELANGANA, 500047, India</t>
  </si>
  <si>
    <t>TN</t>
  </si>
  <si>
    <t>RJ14GQ0155</t>
  </si>
  <si>
    <t>Air Trans</t>
  </si>
  <si>
    <t>PENDING BILL WILL NW TOMORROW</t>
  </si>
  <si>
    <t>SS AGRO PRODUCTS</t>
  </si>
  <si>
    <t>PLOT NO 3 SY NO 198/123 G2, OFFICERS COLONY RK PURAM, NEREDMET MEDCHAL, HYDERABAD, TE, IN</t>
  </si>
  <si>
    <t>HIMJYOTI TRADERS</t>
  </si>
  <si>
    <t>11B/100A ALIGARH ROAD, NARAICH AGRA, AGRA, UTTAR PRADESH, 282006, India</t>
  </si>
  <si>
    <t>DL01MA4688</t>
  </si>
  <si>
    <t>626030426, 626030432</t>
  </si>
  <si>
    <t>HR69F7125</t>
  </si>
  <si>
    <t>58Z5ACTJ</t>
  </si>
  <si>
    <t>Appointment date 07/04/2026 04:00 PM IST</t>
  </si>
  <si>
    <t>626030565, 626030571</t>
  </si>
  <si>
    <t>3DNXQV1O</t>
  </si>
  <si>
    <t>AT OVERSEAS</t>
  </si>
  <si>
    <t>16/4AACHARYAPURI, OPP GANGA APPRT ROADWAYS WORKSHOP, GURUGRAM, HARYANA, 122001, India</t>
  </si>
  <si>
    <t>DL01MA8487</t>
  </si>
  <si>
    <t>AYAN EXIM INDIA</t>
  </si>
  <si>
    <t>F 88 MAYAPURI INDUSTRIAL AREA, GROUND FLOOR PHASE 2, NEW DELHI, DELHI, 110046, India</t>
  </si>
  <si>
    <t>SRI SAI VINAYAKA ENTERPRISES</t>
  </si>
  <si>
    <t>F 88, INDUSTRIAL AREA, MAYAPURI, NEW DELHI, DL, IN</t>
  </si>
  <si>
    <t>, J-3/190, NEHRU MARKET RAJOURI GARDEN,</t>
  </si>
  <si>
    <t>DL01GE1071</t>
  </si>
  <si>
    <t>Gurmukh Cargo</t>
  </si>
  <si>
    <t>DISPATCH ON 07-04-2026</t>
  </si>
  <si>
    <t>Prince 7526993224</t>
  </si>
  <si>
    <t>Prince 7526993225</t>
  </si>
  <si>
    <t>DL01MA5780</t>
  </si>
  <si>
    <t>Prince 7526993226</t>
  </si>
  <si>
    <t>Prince 7526993227</t>
  </si>
  <si>
    <t>14-03-2026</t>
  </si>
  <si>
    <t>PB10KE3574</t>
  </si>
  <si>
    <t>FAIRDEAL MARKETING</t>
  </si>
  <si>
    <t>GROUND FLOOR 33, BLOCK B, SHEETAL SADAN, KOLKATA, WEST BENGAL, 700053, India</t>
  </si>
  <si>
    <t>WB</t>
  </si>
  <si>
    <t>UP82BT5187</t>
  </si>
  <si>
    <t>SRIYASH COMBINE</t>
  </si>
  <si>
    <t>MM TOWER NO 19, CAUVERI NAGAR MAIN ROAD, VELLAPPANCHAUVDI, CHENNAI, TAMIL NADU, 600077, India</t>
  </si>
  <si>
    <t>TL</t>
  </si>
  <si>
    <t>DL01LAN1197</t>
  </si>
  <si>
    <t>All India Transport</t>
  </si>
  <si>
    <t>VIRCHAND KHIMJI AND COMPANY (AADFV5555A)</t>
  </si>
  <si>
    <t>GROUND FLOOR 142/146 SHOP NO 3 5 AND 6, FAKHRI MANZIL MAULANA SHAUKATALI ROAD, TWO TANK GRANT ROAD MUMBAI MAHARASHTRA, MAHARASHTRA, 400008, India MUMBAI,</t>
  </si>
  <si>
    <t>HR38AH8168</t>
  </si>
  <si>
    <t>SAGAR TRADERS</t>
  </si>
  <si>
    <t>E-58 GROUND FLOOR APMC MARKET-1 PHASE-2, TURBHE NAVI MUMBAI MUMBAI SUBURBAN, MUMBAI, MAHARASHTRA, 400705, India</t>
  </si>
  <si>
    <t>, NO 749/1 GROUND FLOOR, 1ST PHASE BETTADASANAPURA MAIN ROAD, ELECTRICITY CITY POST, BENGALURU, KARNATAKA, 560100, India</t>
  </si>
  <si>
    <t>RJ11GD1971</t>
  </si>
  <si>
    <t>31.03.2026</t>
  </si>
  <si>
    <t>SINGHAL FOODS</t>
  </si>
  <si>
    <t>231/2 NANA PETH ASHOK CHOWK, PUNE, MAHARASHTRA, 411002, India</t>
  </si>
  <si>
    <t>DL1LAA9749</t>
  </si>
  <si>
    <t>ABC Transport Co.</t>
  </si>
  <si>
    <t>JIV8</t>
  </si>
  <si>
    <t>HR61E6496</t>
  </si>
  <si>
    <t>Dispatch on 07-04-2026</t>
  </si>
  <si>
    <t>NANAK CHAND BENARSI DASS</t>
  </si>
  <si>
    <t>C4 1655A RADOUR ROAD, YAMUNA NAGAR, HARYANA, 135001, India</t>
  </si>
  <si>
    <t>HR67C1335</t>
  </si>
  <si>
    <t>JEEWAN INTERNATIONAL 19 20</t>
  </si>
  <si>
    <t>SHOP NO 39, GANPATI MARKET, OLD SUBZI MANDI, KARNAL, HARYANA, 132001, India</t>
  </si>
  <si>
    <t>THE KALGIDHAR SOCIETY AA GOMTI</t>
  </si>
  <si>
    <t>VILLAGE NAVADIA SULTANPUR P O UDAYKARANPUR, TEHSIL PURANPUR DISTT PILIBHIT UTTAR PRADESH, PILIBHIT, UTTAR PRADESH, 262122,</t>
  </si>
  <si>
    <t>PB23T2876</t>
  </si>
  <si>
    <t>Self Pickup</t>
  </si>
  <si>
    <t>DURGA TRADING COMPANY (CQXPG8530Q)</t>
  </si>
  <si>
    <t>35 UNNAMED ROAD MODEL TOWN PANIPAT, PANIPAT, HARYANA, 132103, India</t>
  </si>
  <si>
    <t>35 UNNAMED ROAD MODEL TOWN PANIPAT, PANIPAT-132103 IN</t>
  </si>
  <si>
    <t>Dispatch on 7-04-2026</t>
  </si>
  <si>
    <t>R K WorldInfocom Pvt Ltd Block J2, Farukhnagar Logistics Parks, LLP Village- Farrukhnagar, Tehsil- Farrukhanagar Gurgaon 122506 India</t>
  </si>
  <si>
    <t>626030540, 626030545</t>
  </si>
  <si>
    <t>HR55W5557</t>
  </si>
  <si>
    <t>1XR8GKBV</t>
  </si>
  <si>
    <t>Appointment date 09/04/2026 06:30 PM IST</t>
  </si>
  <si>
    <t>3DLA1AZP</t>
  </si>
  <si>
    <t>626030531, 626030533, 626030542, 626030547.</t>
  </si>
  <si>
    <t>16X9LNXK</t>
  </si>
  <si>
    <t>626030531, 626030533, 626030542, 626030547</t>
  </si>
  <si>
    <t>36SVNTLK</t>
  </si>
  <si>
    <t xml:space="preserve"> </t>
  </si>
  <si>
    <t>ONENESS TRADERS</t>
  </si>
  <si>
    <t>MALERKOTLA ROAD PIND SARIH, NEAR SINGH MOTOR GARAGE, LUDHIANA, PUNJAB, 141116, India</t>
  </si>
  <si>
    <t>THE AREA MANAGER CANTEEN STORE DEPARTMENT</t>
  </si>
  <si>
    <t>1 PORUS ROAD JALANDHAR-144005 IN</t>
  </si>
  <si>
    <t>ANAND ENTERPRISES</t>
  </si>
  <si>
    <t>319/5 IGNOU ROAD, OPPOSITE SHANI DEV MANDIR NEW DELHI-110068 IN</t>
  </si>
  <si>
    <t>R K WorldInfocom Pvt Ltd R1, Shakti Logistics Park- Phase II Mumbai-Nashik Highway (NH-160), Dohole BHIWANDI 421302 India</t>
  </si>
  <si>
    <t>626030541, 626030544</t>
  </si>
  <si>
    <t>2GDNJ7SR</t>
  </si>
  <si>
    <t>Dispatch on 10-04-2026</t>
  </si>
  <si>
    <t>BARI BRAHAMANA JAMMU-181133 IN</t>
  </si>
  <si>
    <t>JK</t>
  </si>
  <si>
    <t>₹81,327.00/26</t>
  </si>
  <si>
    <t>DL01GE4045</t>
  </si>
  <si>
    <t>P D KARAI AREA RAMGARH-829122 IN</t>
  </si>
  <si>
    <t>JKD</t>
  </si>
  <si>
    <t>P BAG NO 780 P O AGRARM BENGALURU-560007 IN</t>
  </si>
  <si>
    <t>GANDHI NAGAR P B NO 2054 OPP TELCOM STORES DEPOT ANNEX KOCHI-682020 IN</t>
  </si>
  <si>
    <t>KE</t>
  </si>
  <si>
    <t>MANDALEY LINES RANGE HILLS KHADKI CSD AREA DEPOT COMPLEX PUNE-411020 IN</t>
  </si>
  <si>
    <t>NO</t>
  </si>
  <si>
    <t>THEATRE ROAD OPP EMPIRE TALKIES JABALPUR-482001 IN</t>
  </si>
  <si>
    <t>MP</t>
  </si>
  <si>
    <t>POST BOX NO 1 GURUDASPUR ROAD OPP RAILWAY STATION PATHANKOT-145001 IN</t>
  </si>
  <si>
    <t>THIMAYYA MARG BHATINDA-151004 IN</t>
  </si>
  <si>
    <t>BEHIND MILITARY HOSPITAL PIRU LINES JAIPUR-302006 IN</t>
  </si>
  <si>
    <t>JOTHI NAGAR CHITLAPAKKAM MAIN ROAD CHENNAI-600064 IN</t>
  </si>
  <si>
    <t>TRIMULGHERY R A LINES SECUNDERABAD-500015 IN</t>
  </si>
  <si>
    <t>61 E C ROAD ARAGHAR DEHRADUN-248001 IN</t>
  </si>
  <si>
    <t>UK</t>
  </si>
  <si>
    <t>P O BOX 1002 JAIL ROAD LUCKNOW-226002 IN</t>
  </si>
  <si>
    <t>P O BOX NO 49E B C LINES MEERUT-250001 IN</t>
  </si>
  <si>
    <t>POST BOX NO 2 STATION ROAD SARVATRA BHAVAN BAREILLY-243004 IN</t>
  </si>
  <si>
    <t>STATION ROAD AGRA-282001 IN</t>
  </si>
  <si>
    <t>FORT WILLIAM KOLKATA-700021 IN</t>
  </si>
  <si>
    <t>PO BAGHDOGRA DIST DARJEELING BAGHDOGRA-734422 IN</t>
  </si>
  <si>
    <t>THE KALGIDHAR SOCIETY AA BARU SAHIB</t>
  </si>
  <si>
    <t>BARU SAHIB VIA RAJGARH DISTT SIRMOUR HP, SIRMOUR, HIMACHAL PRADESH, 173101, India</t>
  </si>
  <si>
    <t>HP</t>
  </si>
  <si>
    <t xml:space="preserve">Invoice not received </t>
  </si>
  <si>
    <t>SAFE AND SECURE ONLINE MARKETING PVT LTD</t>
  </si>
  <si>
    <t>KHASRA NO 8(2-02) EXTENDED LAL DORA VILLAGE BAMNOLI PLOT NO-32 NEW DELHI-110077 IN</t>
  </si>
  <si>
    <t>DISPATCH ON 10-04-2026</t>
  </si>
  <si>
    <t>PUNJAB SALES CORPORATION LUDHIANA</t>
  </si>
  <si>
    <t>SUA ROAD, GIASPURA SUA ROAD LUDHIANA-141010 IN</t>
  </si>
  <si>
    <t>PB10HP5874</t>
  </si>
  <si>
    <t>SUA ROAD, GIASPURA, LUDHIANA, PUNJAB, 141010, India</t>
  </si>
  <si>
    <t>SUBHASH CHOWK LAXMI NAGAR G 43 NEAR WALIA NARSING HOME NEW DELHI-110092 IN</t>
  </si>
  <si>
    <t>626030567, 626030572</t>
  </si>
  <si>
    <t>704260191, 704260192</t>
  </si>
  <si>
    <t>2XR98IBY</t>
  </si>
  <si>
    <t>Appointment date 11/04/2026 06:30 PM IST</t>
  </si>
  <si>
    <t>10.04.2026</t>
  </si>
  <si>
    <t>COMED CHEMICALS LIMITED</t>
  </si>
  <si>
    <t>COMED CHEMICALS LIMITED UNIT I RANIA 359 361/2 362 RANIA TALUKA SAVLI VADODARA GUJARAT, VADODARA, GUJARAT, 391780, India</t>
  </si>
  <si>
    <t>DL01LAR3863</t>
  </si>
  <si>
    <t>NILE INDIA</t>
  </si>
  <si>
    <t>POLE NO MDK J606, H NO C 120, KH NO 72/25, SWARN PARK EXTN MUNDKA, NEW DELHI, 110041, DELHI, India</t>
  </si>
  <si>
    <t>UP16PT4887</t>
  </si>
  <si>
    <t>27-03-2026</t>
  </si>
  <si>
    <t>RJ18GB1510</t>
  </si>
  <si>
    <t>6EWYIHKP</t>
  </si>
  <si>
    <t>Appointment date 12/04/2026 12:30 PM IST</t>
  </si>
  <si>
    <t>19KI1K7P</t>
  </si>
  <si>
    <t>2UZE784B</t>
  </si>
  <si>
    <t>26KXGAIZ</t>
  </si>
  <si>
    <t>19-03-2026</t>
  </si>
  <si>
    <t>626030263, 626030307, 626030314</t>
  </si>
  <si>
    <t>JINDAL BROTHERS</t>
  </si>
  <si>
    <t>NEAR JANTA NAGAR CHOWK 1742/1 JAIMAL SINGH ROAD LUDHIANA-141003 IN</t>
  </si>
  <si>
    <t>HR67D9270</t>
  </si>
  <si>
    <t>SAI TRADING COMPANY</t>
  </si>
  <si>
    <t>OLD GRAIN MARKET, DORAHA, LUDHIANA, 141421, PUNJAB, India</t>
  </si>
  <si>
    <t>626040225, 626040223</t>
  </si>
  <si>
    <t>Appointment date 11/04/2026 09:00 AM IST</t>
  </si>
  <si>
    <t>14ZSNOLN</t>
  </si>
  <si>
    <t>1A3KAD7X</t>
  </si>
  <si>
    <t>1QZRQYLL</t>
  </si>
  <si>
    <t>13-04-2026</t>
  </si>
  <si>
    <t>STARLITE INTERNATIONAL</t>
  </si>
  <si>
    <t>A-6 BADLI INDUSTRIAL AREA PHASE-3 INDIDE GATE NO-5, NORTH WEST DELHI, NEW DELHI, DELHI, 110042, India</t>
  </si>
  <si>
    <t>DL01LAR7060</t>
  </si>
  <si>
    <t>DISPATCH ON 13-04-2026</t>
  </si>
  <si>
    <t>OPP KIRBI PLACE BUS STOP CHITRAL LINES NEW DELHI-110010 IN</t>
  </si>
  <si>
    <t>OPP POLICE CHECK POST HISAR-125004 IN</t>
  </si>
  <si>
    <t>DL01LAH1469</t>
  </si>
  <si>
    <t>P B NO 74 WELL ROAD HEAD POST OFFICE BIKANER-334001 IN</t>
  </si>
  <si>
    <t>STALL AT RAKAB GANJ SAHIB</t>
  </si>
  <si>
    <t>PANDIT PANT MARG,,, GURU GOBIND SINGH BHAWAN,,, NEW DELHI, DELHI, 110001, India</t>
  </si>
  <si>
    <t xml:space="preserve">NORTHEN NATURAK PRIVATE LIMITED </t>
  </si>
  <si>
    <t>2865 G.NO.1, TILPAT, FARIDABAD , HARYANA ,121003,INDIA</t>
  </si>
  <si>
    <t>14-04-2026</t>
  </si>
  <si>
    <t>719 PACE CITY-2, SECTOR-37, GURGAON, 719, PACE CITY-2, SE, HARYANA, India</t>
  </si>
  <si>
    <t>DL01LAC8007</t>
  </si>
  <si>
    <t xml:space="preserve">Mahaveer Transport </t>
  </si>
  <si>
    <t>Empty Cartoon</t>
  </si>
  <si>
    <t>J-3/190 2ND FLOOR RAJOURI GARDEN NEW DELHI, NEW DELHI, DELHI, 110027, India</t>
  </si>
  <si>
    <t>15-04-2026</t>
  </si>
  <si>
    <t>Y-26, OKHLA INDUSTRIAL AREA,PHASE-2,NEW DELHI, SOUTH EAST DELHI, DELHI, NEW DELHI, DELHI,110020, India</t>
  </si>
  <si>
    <t>NEAR KHARGA SAINIK ARAMGARH AMBALA CANTT AMBALA-133001 IN</t>
  </si>
  <si>
    <t xml:space="preserve">M/S HARYANA -DELHI TRANSPORT </t>
  </si>
  <si>
    <t>DIVINE EARTH HOLISTIC HEALTH AND ORGANIC SCIENCE</t>
  </si>
  <si>
    <t>NEAR MONNET STEEL PLANT, BESIDE JAGGI POULTRY FARM MANDIR HASOUD,, RAIPUR, CHHATTISGARH, 492101, India</t>
  </si>
  <si>
    <t>CG</t>
  </si>
  <si>
    <t>HR69F5017</t>
  </si>
  <si>
    <t>Om Logistics</t>
  </si>
  <si>
    <t>16-04-2026</t>
  </si>
  <si>
    <t>OPP GANGA APPRT ROADWAYS WORKSHOP 16/4AACHARYAPURI GURUGRAM-122001 IN</t>
  </si>
  <si>
    <t>JAGDAMBA ENTERPRISES CHD</t>
  </si>
  <si>
    <t>SANT NIRANKAI BHAWAN, VILLAGE BHABAT ZIRAKPUR SAS NAGAR PUNJAB, SAS NAGAR, PUNJAB, 140603, India</t>
  </si>
  <si>
    <t>HR67D0359</t>
  </si>
  <si>
    <t>PLOT NO 1 GODOWN AREA OPP. SANT NIRANKAI BHAWAN, VILLAGE BHABAT ZIRAKPUR SAS NAGAR PUNJAB, 140603, India</t>
  </si>
  <si>
    <t>DAIRY FARM NEW DELHI EAST DELHI DELHI, G/F C-64 GALI NO- 02 SHYAM SWEETS GAZIPUR, DELHI, DELHI, 110096, India</t>
  </si>
  <si>
    <t>G/F C-64 GALI NO- 02 SHYAM SWEETS GAZIPUR DAIRY FARM NEW DELHI EAST DELHI DELHI DELHI-110096 IN</t>
  </si>
  <si>
    <t>THE KALGIDHAR SOCIETY BATHINDA</t>
  </si>
  <si>
    <t>TEHSIL TALWANDI SABO DISTT VILLAGE BAGHA P O RAMA MANDI BATHINDA-151302 IN</t>
  </si>
  <si>
    <t>VILLAGE BAGHA P O RAMA MANDI, TEHSIL TALWANDI SABO DISTT, BATHINDA, PUNJAB, 151302,India</t>
  </si>
  <si>
    <t xml:space="preserve">DALA PER RAKHNA HA ITEM 180 </t>
  </si>
  <si>
    <t xml:space="preserve">25 BOX </t>
  </si>
  <si>
    <t>FREE SAMPLE</t>
  </si>
  <si>
    <t>HIMACHAL PRADESH &amp; JAMU KASHMIR</t>
  </si>
  <si>
    <t>M S SUDHIR TRADING COMPANY</t>
  </si>
  <si>
    <t>KRISHNA MARKET PALTAN BAZAR DEHRADUN, DEHRADUN UTTARAKHAND, DEHRADUN, DEHRADUN-248001 IN</t>
  </si>
  <si>
    <t>DL01GE3583</t>
  </si>
  <si>
    <t>M/S JAI BHAGWAN RAMESH CHAND (AENPK0618P)</t>
  </si>
  <si>
    <t>14 BABU GANJ DARSHANI GATE DEHRADUN UTTARAKHAND, DEHRADUN, UTTARAKHAND, 248001, India</t>
  </si>
  <si>
    <t>SANT SINGH ENTERPRISES</t>
  </si>
  <si>
    <t>FLOOR R-31 CLOCK TOWER RAJPURA ROAD CLOCK TOWER MDDA, COMPLEX AJABPUR KALAN NAGAR NIGAM, DEHRADUN, UTTARAKHAND, 248001, India</t>
  </si>
  <si>
    <t>HR55AM6205</t>
  </si>
  <si>
    <t>Bombay Sri Nagar</t>
  </si>
  <si>
    <t>DISPATCH ON 16-04-2026</t>
  </si>
  <si>
    <t>B G TOWER T R P ROAD, FANCY BAZAR, GUWAHATI, ASSAM, 781001, India</t>
  </si>
  <si>
    <t>HR69D1826</t>
  </si>
  <si>
    <t>Pick &amp; Ship</t>
  </si>
  <si>
    <t>17-04-2026</t>
  </si>
  <si>
    <t>NEAR TRANSPORT AUTHORITY BURARI A-6W HIMGIRI ENCLAVE DELHI-110084 IN</t>
  </si>
  <si>
    <t>BAGRRYS INDIA PRIVATE LIMITED</t>
  </si>
  <si>
    <t>PLOT NO 28 AND 41 HIMUDA INDUSTRIAL AREA, BHATAULI KALAN BADDI SOLAN HIMACHAL PARDESH, SOLAN, HP, IN</t>
  </si>
  <si>
    <t>NCR-1494</t>
  </si>
  <si>
    <t>HR69C3421</t>
  </si>
  <si>
    <t>18-04-2026</t>
  </si>
  <si>
    <t>KALGIDHAR RAJOURI GARDEN F3 DELHI</t>
  </si>
  <si>
    <t>RAJOURI GARDEN MARG F3 GURUDWARA NEW DELHI-110027 IN</t>
  </si>
  <si>
    <t>NEW DELHI-110027 IN</t>
  </si>
  <si>
    <t>Delivery Address: DED5  Emporium Industrial Park India Pvt Ltd ESR Sohna Logistics Park, Village Rahaka GURUGRAM 122103 India</t>
  </si>
  <si>
    <t>704260513, 704260514, 704260515</t>
  </si>
  <si>
    <t>Rishab 8802345622</t>
  </si>
  <si>
    <t>4UATHSWQ , 12EVBZVA , 6ETMA17D</t>
  </si>
  <si>
    <t>18/04/2026 08:30 AM IST</t>
  </si>
  <si>
    <t>20-04-2026</t>
  </si>
  <si>
    <t>DISPATCH ON 20-04-2026</t>
  </si>
  <si>
    <t>21-04-2026</t>
  </si>
  <si>
    <t>AKAL ROZGAR YOJANA A U O JWPL</t>
  </si>
  <si>
    <t>NEAR MAIN GURDWARA BARU SAHIB COMPLEX RAJGARH-173101 IN</t>
  </si>
  <si>
    <t>HP16AA2216</t>
  </si>
  <si>
    <t>THE KALGIDHAR SOCIETY AA AJITSAR RATIA</t>
  </si>
  <si>
    <t>VILLAGE RATIA P O HAMJAPUR TEHSIL RATIA, DISTT FATEHABAD HARYANA, FATEHABAD, HARYANA, 125051, India</t>
  </si>
  <si>
    <t>MEHTA TRADERS</t>
  </si>
  <si>
    <t>VISHNU GARDEN J-5 J-5 KHAYALA ROAD NEW DLEHI-110018 IN</t>
  </si>
  <si>
    <t>KA20AC7082</t>
  </si>
  <si>
    <t>319/5 IGNOU ROAD, OPPOSITE SHANI DEV MANDIR, NEW DELHI, DELHI, 110068, India</t>
  </si>
  <si>
    <t>STAR SALES CORPORATION DELHI</t>
  </si>
  <si>
    <t>P NO 202 KH NO 31/9 GALI NUMBER 4, GEMINI PARK NAZAFGARH SOUTH WEST DELHI, NEW DELHI, 110043, DELHI, India</t>
  </si>
  <si>
    <t>626040336, 626040337</t>
  </si>
  <si>
    <t>HR69E5534</t>
  </si>
  <si>
    <t>DED3  Block J2, Farukhnagar Logistics Parks, LLP Village- Farrukhnagar, Tehsil- Farrukhanagar Gurgaon 122506</t>
  </si>
  <si>
    <t>626040334, 626040335</t>
  </si>
  <si>
    <t>704260579, 704260581</t>
  </si>
  <si>
    <t>22/04/2026 01:00 AM IST</t>
  </si>
  <si>
    <t>22-04-2026</t>
  </si>
  <si>
    <t>RJ14GT6851</t>
  </si>
  <si>
    <t>320 pcs Jivo Pomace 5 Ltr Oil short dispatch</t>
  </si>
  <si>
    <t>320 pcs Jivo Pomace 5 Ltr Oil less</t>
  </si>
  <si>
    <t>F 88, INDUSTRIAL AREA, MAYAPURI, NEW DELHI, DELHI, 110064, India</t>
  </si>
  <si>
    <t xml:space="preserve">BALAJI MARKETING AND SUPPLY CHAIN PRIVATE LIMITED </t>
  </si>
  <si>
    <t>COMPLEX, P.S-DANKUNI P.O-BAMUNARI MOUZA-26 DAG -66 67, SRIRAMPORE UTTARPARA HOOGHLY, WEST BENGAL, 712250, India</t>
  </si>
  <si>
    <t>HP38F7277</t>
  </si>
  <si>
    <t>Please dispatch balaji marketing vehicle. but do not unload without our permission this is under intransit  payment method. kindly follow up</t>
  </si>
  <si>
    <t>RAJESHWAR KISHORE MAHENDERPAL</t>
  </si>
  <si>
    <t>SCO NO 91 92, NAI ANAJ MANDI, KHANDSA ROAD NH 8, GURUGRAM, HARYANA, 122001, India</t>
  </si>
  <si>
    <t>G 43 NEAR WALIA NARSING HOME, SUBHASH CHOWK LAXMI NAGAR, NEW DELHI, DELHI, 110092, India</t>
  </si>
  <si>
    <t>626040325 ,626040327</t>
  </si>
  <si>
    <t>23/04/2026 01:00 AM IST</t>
  </si>
  <si>
    <t>DISPATCH ON 21-04-2026</t>
  </si>
  <si>
    <t>23-04-2026</t>
  </si>
  <si>
    <t>Khasra No. 42//25/3, 53//1,2,3,8,9,10,26, 54//5/2/21, 5/2/2/3,6/1/1, Village Dhaturi, Sonepat 131039</t>
  </si>
  <si>
    <t>626040326 , 626040330 , 626040350</t>
  </si>
  <si>
    <t>704260622 , 704260624 , 704260623</t>
  </si>
  <si>
    <t>8MZVLQEM , 83FIP76J , 1T74L5JP</t>
  </si>
  <si>
    <t>23/04/2026 12:30 PM IST</t>
  </si>
  <si>
    <t>UP50FT3969</t>
  </si>
  <si>
    <t>DL01GE3613</t>
  </si>
  <si>
    <t>DL1LAM9688</t>
  </si>
  <si>
    <t>2 Dala</t>
  </si>
  <si>
    <t xml:space="preserve">R K WorldInfocom Pvt Ltd </t>
  </si>
  <si>
    <t>626040371 ,626040372 ,626040375</t>
  </si>
  <si>
    <t>704260635/704260636</t>
  </si>
  <si>
    <t>24/04/2026 08:00 AM IST</t>
  </si>
  <si>
    <t>24-04-2026</t>
  </si>
  <si>
    <t>M R K FOODS PVT. LTD.</t>
  </si>
  <si>
    <t>GANGAPOL SAMOD HOUSE, NEAR JORAWAR SINGH GATE AMER ROAD, JAIPUR, RAJASTHAN, 302002, India</t>
  </si>
  <si>
    <t>Ghai Logistics</t>
  </si>
  <si>
    <t>DED3 Block J2, Farukhnagar Logistics Parks, LLP Village- Farrukhnagar, Tehsil- Farrukhanagar Gurgaon 122506</t>
  </si>
  <si>
    <t>25/04/2026 01:00 AM IST</t>
  </si>
  <si>
    <t>SHOP NO 662, OLD GRAIN MARKET JAGRAN, LUDHIANA, PUNJAB, 142026, India</t>
  </si>
  <si>
    <t>VPO BARU SAHIB VIA RAJGARH DISTT SIRMOUR HP, SIRMOUR, HIMACHAL PRADESH, 173101, India</t>
  </si>
  <si>
    <t>25-04-2026</t>
  </si>
  <si>
    <t>, DAIRY FARM NEW DELHI EAST DELHI DELHI, G/F C-64 GALI NO- 02 SHYAM SWEETS GAZIPUR, DELHI, DELHI, 110096, India</t>
  </si>
  <si>
    <t>SHREE JEE TRADERS</t>
  </si>
  <si>
    <t>43 CHOTTI LINE GURUDWARA PANCHAITI, SANT NAGAR, YAMUNA NAGAR, HARYANA, 135001, India</t>
  </si>
  <si>
    <t>RAILWAY ROAD, KHANNA, PUNJAB, 141401, India</t>
  </si>
  <si>
    <t>DED5  Emporium Industrial Park India Pvt Ltd ESR Sohna Logistics Park, Village Rahaka GURUGRAM 122103 India</t>
  </si>
  <si>
    <t>Direct Mart Godown</t>
  </si>
  <si>
    <t>26/04/2026 08:30 AM IST</t>
  </si>
  <si>
    <t>P NO 202 KH NO 31/9 GALI NUMBER 4, GEMINI</t>
  </si>
  <si>
    <t>HP12E1833</t>
  </si>
  <si>
    <t>26-04-2026</t>
  </si>
  <si>
    <t>DISPATCH ON 25-04-2026</t>
  </si>
  <si>
    <t>27-04-2026</t>
  </si>
  <si>
    <t>R K WorldInfocom</t>
  </si>
  <si>
    <t>Khasra No.20//11/2/3,12,19,20/1/2,21,22 ,Village Bighan, Sonepat, Haryana-131039</t>
  </si>
  <si>
    <t>626040359 ,626040362</t>
  </si>
  <si>
    <t>704260653 , 704260652</t>
  </si>
  <si>
    <t>35JVR8RF , 4Z8KSIKG</t>
  </si>
  <si>
    <t>27/04/2026 09:30 AM IST</t>
  </si>
  <si>
    <t>KASHVI ENTERPRISES</t>
  </si>
  <si>
    <t xml:space="preserve"> BLK-WZ SIRI NAGAR, SHAKUR BASTI CITY, NORTH WEST DELHI, NEW DELHI, DELHI, 110034, India</t>
  </si>
  <si>
    <t>AGGARWAL DAIRY</t>
  </si>
  <si>
    <t>SHOP NO. 50/18 AGGARWAL DAIRY, ARYA SAMAJ ROAD SAFIDON GATE, JIND, HARYANA, 126102, India</t>
  </si>
  <si>
    <t>Dale par</t>
  </si>
  <si>
    <t>ILAHI CO</t>
  </si>
  <si>
    <t>J-3/190, NEHRU MARKET RAJOURI GARDEN, NEW DELHI, DELHI, 110027, India</t>
  </si>
  <si>
    <t>DL1LAM0715</t>
  </si>
  <si>
    <t>319/5  IGNOU ROAD, OPPOSITE SHANI DEV MANDIR, NEW DELHI, DELHI, 110068, India</t>
  </si>
  <si>
    <t>28/04/2026 01:00 AM IST</t>
  </si>
  <si>
    <t>28-04-2026</t>
  </si>
  <si>
    <t>PRIME SALES CORPORATION</t>
  </si>
  <si>
    <t>QURESHI ESTATES CMO BUILDING, KARAN NAGAR, SRINAGAR, JAMMU AND KASHMIR, 190010, India</t>
  </si>
  <si>
    <t>JK02CG3485</t>
  </si>
  <si>
    <t>96000/-</t>
  </si>
  <si>
    <t>29-04-2026</t>
  </si>
  <si>
    <t>DORAHA SAI TRADING COMPANY OLD GRAIN MARKET LUDHIANA-141421 IN</t>
  </si>
  <si>
    <t>BACK SIDE ANUBARAT SCHOOL SHASTRI NAGAR JAGRAON-142026 IN</t>
  </si>
  <si>
    <t>A 35/1 2ND BASEMENT INDUSTRIAL AREA, PHASE 1 MAYAPURI, NEW DELHI, DELHI, 110064, India</t>
  </si>
  <si>
    <t>HR62A5471</t>
  </si>
  <si>
    <t>30-04-2026</t>
  </si>
  <si>
    <t>DED5 Emporium Industrial Park India Pvt Ltd ESR Sohna Logistics Park, Village Rahaka GURUGRAM 122103 India</t>
  </si>
  <si>
    <t>704260679 , 704260680, 704260681</t>
  </si>
  <si>
    <t>30/04/2026 07:00 PM IST</t>
  </si>
  <si>
    <t>MARUTI DISTRIBUTOR</t>
  </si>
  <si>
    <t>VIDYASAGAR PALLY, KHALPARA, SILIGURI, WEST BENGAL, 734005, India</t>
  </si>
  <si>
    <t>NCR-1689</t>
  </si>
  <si>
    <t>HR69D2361</t>
  </si>
  <si>
    <t>HMDA - Ancon Logistics Park,*Sy. No.124/20-26, Near Metro City Mangalapally, Ibrahimpatnam, HYDERABAD 501510</t>
  </si>
  <si>
    <t>DL01GE3044</t>
  </si>
  <si>
    <t>DEL260155</t>
  </si>
  <si>
    <t>RJ11GC6352</t>
  </si>
  <si>
    <t>DISPATCH ON 30-04-2026</t>
  </si>
  <si>
    <t xml:space="preserve">Gurmukh Cargo </t>
  </si>
  <si>
    <t>704260732 , 704260731, 704260733, 704260744</t>
  </si>
  <si>
    <t>01/05/2026 08:30 AM IST</t>
  </si>
  <si>
    <t>HHS1 R K WorldInfocom Pvt Ltd B 1200, Pahazour (Faizabad) Badli, Jhajjar Gurgaon 124105</t>
  </si>
  <si>
    <t>01/05/2026 09:15 PM IST</t>
  </si>
  <si>
    <t>ANAND F&amp;B DISTRIBUTIONS PRIVATE LIMITED</t>
  </si>
  <si>
    <t>C 46, MALVIYA NAGAR SHIVALIK, SOUTH DELHI NEW DELHI-110017 IN</t>
  </si>
  <si>
    <t>704260691 , 704260688</t>
  </si>
  <si>
    <t>DEL260157</t>
  </si>
  <si>
    <t>RJ18GB1512</t>
  </si>
  <si>
    <t>02/05/2026 08:30 AM IST</t>
  </si>
  <si>
    <t>15 TON JANI HAI</t>
  </si>
  <si>
    <t>704260690 , 704260687 , 704260689, 704260730</t>
  </si>
  <si>
    <t>01/05/2026 04:00 PM IST</t>
  </si>
  <si>
    <t>DL01LAC9967</t>
  </si>
  <si>
    <t>PB10HH9574</t>
  </si>
  <si>
    <t>DISPATCH ON 02-05-2026</t>
  </si>
  <si>
    <t>704260735 , 704260737 , 704260740 , 704260739 , 704260742</t>
  </si>
  <si>
    <t>03/05/2026 08:30 AM IST</t>
  </si>
  <si>
    <t>DEL260166</t>
  </si>
  <si>
    <t>RJ11GC0942</t>
  </si>
  <si>
    <t>JIVO WELLNESS PVT LTD - PB</t>
  </si>
  <si>
    <t>SHOP NO.662, SHASTRI NAGAR OLD GRAIN MARKETACK, JAGRAON, PUNJAB, 142026, India</t>
  </si>
  <si>
    <t>HR67D8735</t>
  </si>
  <si>
    <t>HR67E3663</t>
  </si>
  <si>
    <t>DISPATCH ON 4-05-2026</t>
  </si>
  <si>
    <t>704260736 , 704260745</t>
  </si>
  <si>
    <t>04/05/2026 04:00 PM IST</t>
  </si>
  <si>
    <t>NEW ROYAL FOOD SERVICES PRIVATE LIMITED</t>
  </si>
  <si>
    <t>HOUSE NO 227, NEAR GANESHPETH VAYAMSHALA SCHOOL, NAGPUR, MAHARASHTRA, 440018, INDIA</t>
  </si>
  <si>
    <t>PENDING BILL TOMMOROW</t>
  </si>
  <si>
    <t>Please send stock in JIVO Vehical</t>
  </si>
  <si>
    <t>DL1LMA6187</t>
  </si>
  <si>
    <t>DEL260167</t>
  </si>
  <si>
    <t>HR63F0934</t>
  </si>
  <si>
    <t>1320 Pcs short dispach</t>
  </si>
  <si>
    <t xml:space="preserve">aagye </t>
  </si>
  <si>
    <t>DEL260181</t>
  </si>
  <si>
    <t>RJ14GH4997</t>
  </si>
  <si>
    <t>DL01LMA6187</t>
  </si>
  <si>
    <t>DISPATCH ON 6-05-2026</t>
  </si>
  <si>
    <t>HR67B3732</t>
  </si>
  <si>
    <t xml:space="preserve">HR67D9311  </t>
  </si>
  <si>
    <t>20 9311</t>
  </si>
  <si>
    <t xml:space="preserve"> FAKHRI MANZIL MAULANA SHAUKATALI ROAD, TWO TANK GRANT ROAD MUMBAI MAHARASHTRA, MUMBAI,MAHARASHTRA, 400008, India</t>
  </si>
  <si>
    <t>DEL260182</t>
  </si>
  <si>
    <t>HR61E6912</t>
  </si>
  <si>
    <t>B 2 SAINATH SOCIETY ALTHAN ROAD NEAR CNG PUMP, BHATAR, SURAT, GUJARAT, 395002, India</t>
  </si>
  <si>
    <t>DEL260183</t>
  </si>
  <si>
    <t>705260127 , 705260125 , 705260124 , 705260123, 705260126, 705260128</t>
  </si>
  <si>
    <t>15 TON KI VEHICHLE JAYGI</t>
  </si>
  <si>
    <t>06/05/2026 08:30 AM IST</t>
  </si>
  <si>
    <t>PB</t>
  </si>
  <si>
    <t>DL01GE5377</t>
  </si>
  <si>
    <t>TE</t>
  </si>
  <si>
    <t xml:space="preserve">AIR TRANS </t>
  </si>
  <si>
    <t>SAI TRADING COMPANY OLD GRAIN MARKET, DORAHA, LUDHIANA, PUNJAB, 141421, India</t>
  </si>
  <si>
    <t>SCOOTSY LOGISTICS PRIVATE LIMITED Ecom Express Pvt Ltd,, No 90, PeriapalayamHigh Road, Kannigaipair Village, CHENNAI, Tamil Nadu, 601101</t>
  </si>
  <si>
    <t>DEL260184</t>
  </si>
  <si>
    <t>HR65A1090</t>
  </si>
  <si>
    <t>WAHEGURU TRADERS</t>
  </si>
  <si>
    <t>NEAR O B C BANK, GULSIA RAM STREET TULSI RAM STREET, SRI MUKTSAR SAHIB, MUKTSAR SAHIB, PUNJAB, 152026, India</t>
  </si>
  <si>
    <t>HR67C8735</t>
  </si>
  <si>
    <t>SHOP NO.9 OLD GHASS MANDI ROAD SHARMA TIMBER, TRADERS NEAR KEWAL KRISHAN MIGLANI,, AMBALA, HARYANA, 134003, India</t>
  </si>
  <si>
    <t>HR</t>
  </si>
  <si>
    <t>SCOOTSY LOGISTICS PRIVATE LIMITED Block no-96 Moje Vasna Ahmedabad, Gujarat - 382213, India</t>
  </si>
  <si>
    <t>DEL260186</t>
  </si>
  <si>
    <t>RJ32GE3164</t>
  </si>
  <si>
    <t>FIRST FLOOR, F 78, VALMIK BUSINESS CENTRE, BAINA, VASCO, SOUTH GOA, SOUTH GOA, GOA, 403802, India</t>
  </si>
  <si>
    <t>GOA</t>
  </si>
  <si>
    <t>DEL260185</t>
  </si>
  <si>
    <t>HR73C8630</t>
  </si>
  <si>
    <t>Dispatch on 06-05-2026</t>
  </si>
  <si>
    <t>SOUTH GOA-403802 IN</t>
  </si>
  <si>
    <t>DEL260187</t>
  </si>
  <si>
    <t>TN34Q9381</t>
  </si>
  <si>
    <t>SUMIT TRADERS</t>
  </si>
  <si>
    <t>GOYAL STREET MANDER WALI GALI KOTKAPURA, FARIDKOT PUNJAB, FARIDKOT, PUNJAB, 151204, India</t>
  </si>
  <si>
    <t>HR67D8914</t>
  </si>
  <si>
    <t>Scootsy Logistics Private Limited AV Logistics, 255-358 Village Basman, Tehsil Banur, Banur, SAS Nagar, Punjab , Chandigarh, Punjab 140601</t>
  </si>
  <si>
    <t>705260134 , 705260136 , 705260135 , 705260137 , 705260147</t>
  </si>
  <si>
    <t>08/05/2026 08:30 AM IST</t>
  </si>
  <si>
    <t>DISPATCH ON 8-05-2026</t>
  </si>
  <si>
    <t>DEL260188</t>
  </si>
  <si>
    <t>HR58E0354</t>
  </si>
  <si>
    <t>DISPATCH ON 7-05-2026</t>
  </si>
  <si>
    <t>E-58 GROUND FLOOR APMC MARKET-1 PHASE-2, TURBHE NAVI MUMBAI MUMBAI SUBURBAN ,MUMBAI, MAHARASHTRA, 400705, India</t>
  </si>
  <si>
    <t>DEL260189</t>
  </si>
  <si>
    <t>HR73A6182</t>
  </si>
  <si>
    <t>PLAN FOR 06-05-26</t>
  </si>
  <si>
    <t>KAILIAN FOODS PRIVATE LIMITED</t>
  </si>
  <si>
    <t>1ST FLOOR GODOWN NO A1-104, PRERNA COMPLEX DAPODA ANJURPHATA BHIWANDI, VALVIPADA THANE, MAHARASHTRA, 421302, India</t>
  </si>
  <si>
    <t>DEL260190</t>
  </si>
  <si>
    <t>DEL260191</t>
  </si>
  <si>
    <t>HR55AZ6313</t>
  </si>
  <si>
    <t>HR69G5240</t>
  </si>
  <si>
    <t>B S A ENGINEERING LLP</t>
  </si>
  <si>
    <t xml:space="preserve">DELHI </t>
  </si>
  <si>
    <t>HOLD</t>
  </si>
  <si>
    <t>WAL MART INDIA PVT LTD</t>
  </si>
  <si>
    <t>KHASRA NO 75/26 75/14 75/18/1 AMRITSAR-143109 IN</t>
  </si>
  <si>
    <t>Short Load</t>
  </si>
  <si>
    <t xml:space="preserve">for cn </t>
  </si>
  <si>
    <t xml:space="preserve">FOR CN </t>
  </si>
  <si>
    <t>PENDING BILL TOMORROW</t>
  </si>
  <si>
    <t xml:space="preserve">Invoice No </t>
  </si>
  <si>
    <t>MART Invoice</t>
  </si>
  <si>
    <t>Water+WG Ltr</t>
  </si>
  <si>
    <t>Kanta weight</t>
  </si>
  <si>
    <t>Freight Total</t>
  </si>
  <si>
    <t>Total Box</t>
  </si>
  <si>
    <t>ROYAL HOSPITALITY HARYANA</t>
  </si>
  <si>
    <t>14/7 MATHURA ROAD, MM TEXTILE PVT LTD SECTOR 31, FARIDABAD, HARYANA, 121003, India</t>
  </si>
  <si>
    <t>HARYANA</t>
  </si>
  <si>
    <t>SAI WATER SUPPLIERS DELHI</t>
  </si>
  <si>
    <t>SHOP NO.04 I-48 GROUND FLOOR, LAJPAT NAGAR-I, NEW DELHI, DELHI, 110024, India</t>
  </si>
  <si>
    <t>BALAJI ENTERPRISES ( EAST DELHI) DELHI</t>
  </si>
  <si>
    <t>GROUND FLOOR D-887, BHANJANPURA, DELHI, DELHI, 110053, India</t>
  </si>
  <si>
    <t>Delivery at Aggarwal Bevrage</t>
  </si>
  <si>
    <t>OM SAI HOSPITALITY DELHI</t>
  </si>
  <si>
    <t>WZ-306-R CHAUDHARY DATA RAM MARG CHHOTIYAL, PALAM VILLAGE, NEW DELHI, DELHI, 110045, India</t>
  </si>
  <si>
    <t>DL1LAQ4445</t>
  </si>
  <si>
    <t>LAXMI TRADING CO. DELHI</t>
  </si>
  <si>
    <t>SHOP NO. 16 NEHRU BAZAR, PAHAR GANJ, NEW DELHI, DELHI, 110055, India</t>
  </si>
  <si>
    <t>DL01LT9351</t>
  </si>
  <si>
    <t>Amod Kumar Transport</t>
  </si>
  <si>
    <t>YASHIKA STORES DELHI</t>
  </si>
  <si>
    <t>GROUND FLOOR SHOP NO. 1, ST JAMES CHURCH EXIT ROAD CHURCH ROAD KASHMERE GATE, DELHI, 110006, India</t>
  </si>
  <si>
    <t>DL01LAL2818</t>
  </si>
  <si>
    <t>INDERJEET SINGH MANAK VIHAR</t>
  </si>
  <si>
    <t>WZ-764 MANAK VIHAR NEW DELHI, NEW DELHI, DELHI, 110018, India</t>
  </si>
  <si>
    <t>21-03-2026</t>
  </si>
  <si>
    <t>GOLDEN SUNRISE</t>
  </si>
  <si>
    <t>ASHOK VIHAR PHASE 3 GROUND FLOOR 23 SAWAN PARK EXTENSION NEW DELHI-110052 IN</t>
  </si>
  <si>
    <t>with labour</t>
  </si>
  <si>
    <t>SATISH KUMAR DELHI</t>
  </si>
  <si>
    <t>SEC-5, ROHINI, NEW DELHI, DELHI, 110085, India</t>
  </si>
  <si>
    <t>YAMUNA NAGAR C4 1655A RADOUR ROAD -135001 IN</t>
  </si>
  <si>
    <t>RAJOURI GARDEN GROUND FLOOR J3/22B NEW DELHI-110027 IN</t>
  </si>
  <si>
    <t>F3 GURUDWARA, RAJOURI GARDEN MARG, NEW DELHI, DELHI, 110027, India</t>
  </si>
  <si>
    <t>HR58B8911</t>
  </si>
  <si>
    <t>KHURANA TRADERS FATEHABAD</t>
  </si>
  <si>
    <t>51-PALLKA BAZAR FATEHABAD, FATEHABAD, HARYANA, 125050, India</t>
  </si>
  <si>
    <t>SUNNY KUMAR</t>
  </si>
  <si>
    <t>GALI NUMBER 1 KAROL BAGH THANA GROUND FLOOR 96 DESH BANDHU GUPTA MARKET NEW DELHI-110005 IN</t>
  </si>
  <si>
    <t>WITH</t>
  </si>
  <si>
    <t>BABA HARIDAS TRADERS</t>
  </si>
  <si>
    <t>SURAJ VIHAR KAKROLA SOUTH WEST UPPER GROUND FLOOR RZ-B-32 NEW DELHI-110078 IN</t>
  </si>
  <si>
    <t>NAVNEET SINGH ASM GT DL ((JWPL0174))</t>
  </si>
  <si>
    <t>KIRTI NAGAR A-9 NEW DELHI-110015 IN</t>
  </si>
  <si>
    <t>Gaddi 4 yarik ko jaegi Uttam nagar</t>
  </si>
  <si>
    <t>GJ TANKAR</t>
  </si>
  <si>
    <t>ARIHANT TRADING CO RATIA</t>
  </si>
  <si>
    <t>BUDHLADHA ROAD, RATIA FATEHABAD HARYANA, FATEHABAD, HARYANA, 125051, India</t>
  </si>
  <si>
    <t>M/S MEDIA MIND DELHI</t>
  </si>
  <si>
    <t>FLAT NO. 7 3RD FLOOR SHANKAR MARKET, CONNAUGHT PLACE, DELHI, DELHI, 110001, India</t>
  </si>
  <si>
    <t>HR46G5794</t>
  </si>
  <si>
    <t>PRABHDIT SINGH DELHI</t>
  </si>
  <si>
    <t>PLOT NO 85 MAIN 60 FT ROAD, SEHDEV GALI VISHVAS NAGAR SHAHDARA, NEW DELHI, DELHI, 110032, India</t>
  </si>
  <si>
    <t>JMD ABODE AND BANQUETS PRIVATE LIMITED</t>
  </si>
  <si>
    <t>55 MILESTONE, LARSAULI MURTHAL, SONIPAT, HARYANA, 131039, India</t>
  </si>
  <si>
    <t>NAVRAJ TRADING CO. DELHI</t>
  </si>
  <si>
    <t>LEFT PORTION GROUND FLOOR HOUSE NO- 6-A, NEAR MAIN ROAD DHEERPUR VILLAGE, DELHI, DELHI, 110009, India</t>
  </si>
  <si>
    <t>GUPTA AND SONS TRADERS DELHI</t>
  </si>
  <si>
    <t>GROUND FLOOR OLD SEEMAPURI, D-152 SHAHDARA, NEW DELHI, DELHI, 110095, India</t>
  </si>
  <si>
    <t>AGGARWAL BEVERAGES PRIVATE LIMITED</t>
  </si>
  <si>
    <t>CONNAUGHT PLACE NEW DELHI NEW DELHI-110001 IN</t>
  </si>
  <si>
    <t>MAHAVIR ICE DEPOT DELHI</t>
  </si>
  <si>
    <t>KH NO.-23/13/1 A-8 F/F, GALI NO. 4 WEST KARAWAL NAGAR, NEW DELHI, DELHI, 110094, India</t>
  </si>
  <si>
    <t>JASPREET SINGH (BUNTY) DELHI</t>
  </si>
  <si>
    <t xml:space="preserve">WZ-18 A, VISHNU GARDEN, DELHI, DELHI, 110018, India (CASH SALE GUJRAT TANKER)
</t>
  </si>
  <si>
    <t>GUJRAT TANKER</t>
  </si>
  <si>
    <t>RAJAN MITTAL</t>
  </si>
  <si>
    <t>ROHINI C-7 /65 SEC - 7 DELHI-110085 IN</t>
  </si>
  <si>
    <t>DL1LAN5609</t>
  </si>
  <si>
    <t>RIDHI SIDHI TRADERS DELHI</t>
  </si>
  <si>
    <t>MANGOLPURI L-620 DDA FLATS NEW DELHI-110083 IN</t>
  </si>
  <si>
    <t>DL1LAM9973</t>
  </si>
  <si>
    <t>PARVATI AGENCY</t>
  </si>
  <si>
    <t>BHERA ENCLAVE BASEMENT PLOT NO 75 PASCHIM VIHAR-110087 IN</t>
  </si>
  <si>
    <t>GURU JI TRADER</t>
  </si>
  <si>
    <t>JANGPURA B SHOP NO.S-3 PRATAP MARKET POST OFFICE NEW DELHI-110014 IN</t>
  </si>
  <si>
    <t>RIDDHI SIDDHI ENTERPRISES</t>
  </si>
  <si>
    <t>37 A MAHESHWARI GREEN PARK 1ST, NEAR B.R. BIRLA PUBLIC SCHOOL, JODHPUR, RAJASTHAN, 342008, India</t>
  </si>
  <si>
    <t>HR 84 5292</t>
  </si>
  <si>
    <t>BHAVYA TRADERS</t>
  </si>
  <si>
    <t>VILLAGE GARHI MENDU BHAJANPURA HOUSE NO-40 STREET NO-4 NEW DELHI-110053 IN</t>
  </si>
  <si>
    <t>M R ENTERPRISES</t>
  </si>
  <si>
    <t>SECTOR 12 DWARKA SUNNY VALLEY B-1/801 PLOT NO-27 SECTOR-12 NSIT DWARKA DELHI-110078 IN</t>
  </si>
  <si>
    <t>DIGGA WATER</t>
  </si>
  <si>
    <t>WEST PATEL NAGAR G-85 NEW DELHI-110008 IN</t>
  </si>
  <si>
    <t>23-03-2026</t>
  </si>
  <si>
    <t>JUNEJA AGENCY OLD RAJINDER NAGAR</t>
  </si>
  <si>
    <t>BASEMENT 30/46, OLD RAJINDER NAGAR MARKET, NEW DELHI, DELHI, 110060, India</t>
  </si>
  <si>
    <t>With labour Gaddi todapur and rajinder nagar utregi</t>
  </si>
  <si>
    <t>YASH SONI ENTERPRISES (IAGPD8885Q)</t>
  </si>
  <si>
    <t>PANIPAT HARYANA PANIPAT-132101 IN</t>
  </si>
  <si>
    <t>HR10AB8162</t>
  </si>
  <si>
    <t>YASHIKA STORES</t>
  </si>
  <si>
    <t>ST JAMES CHURCH EXIT ROAD CHURCH ROAD KASHMERE GATE GROUND FLOOR SHOP NO. 1 DELHI-110006 IN</t>
  </si>
  <si>
    <t>PUNAB</t>
  </si>
  <si>
    <t>Uttam nagar and Dwarka sector 7 Uttam nagar and Dwarka sector 7</t>
  </si>
  <si>
    <t>HARI NAGAR 1-B SUB DISTRICT CENTRE NEW DELHI-110064 IN</t>
  </si>
  <si>
    <t>WHOLESALE BEVERAGES</t>
  </si>
  <si>
    <t>VILLAGE BHALSWA UNNAMED ROAD YADAV BAKERY BHALSWA JAHANGIR NORTH DELHI -110033 IN</t>
  </si>
  <si>
    <t>SABRI TRADERS</t>
  </si>
  <si>
    <t>INDRAPRASTHA ESTATE SABRI DARYA GANJ NEAR KHALSA GIRLS SCHOOL CENTRAL DELHI-110002 IN</t>
  </si>
  <si>
    <t>LEFT PORTION GROUND FLOOR HOUSE NO- 6-A,NEAR MAIN ROAD DHEERPUR VILLAGE, DELHI, DELHI,110009, India</t>
  </si>
  <si>
    <t>S K ENTERPRISES NEW DELHI</t>
  </si>
  <si>
    <t>SHOP NO. 2 35/16, ASHOK NAGAR TILAK NAGAR, NEW DELHI, DELHI, 110018, India</t>
  </si>
  <si>
    <t xml:space="preserve">bill pdf </t>
  </si>
  <si>
    <t>ROYAL HOSPITALITY</t>
  </si>
  <si>
    <t>POLICE LINE MARG DTC BUS DEPOT FUNCTION SIZE NZ 30(A) PRITAMPURA-110034 IN</t>
  </si>
  <si>
    <t>SATYAM ENTERPRISES</t>
  </si>
  <si>
    <t>KUSHMANDA MATA ROAD PRASHANT VIHAR SUB POST OFFICE SECTOR 14 18/2/1 LEFT PORTION ROHINI-110085 IN</t>
  </si>
  <si>
    <t>BLINK (SUNNY KUMAR DELHI)</t>
  </si>
  <si>
    <t>DIVYA WATER SUPPLIER</t>
  </si>
  <si>
    <t>VILLAGE MOHAMMADPUR NEW DELHI-110066 IN</t>
  </si>
  <si>
    <t>Please arrange for these to be dispatched this coming Friday.</t>
  </si>
  <si>
    <t>VD ENTERPRISES</t>
  </si>
  <si>
    <t>91 A MUNIRKA VILLAGE PORTION MIDDLE VILLAGE NEW DELHI-110067 IN</t>
  </si>
  <si>
    <t>GAGANDEEP SINGH</t>
  </si>
  <si>
    <t>NEW DELHI, DELHI, 110027, India (SONEPAT GOODS CARRIER)</t>
  </si>
  <si>
    <t>S.K. AGENCY</t>
  </si>
  <si>
    <t>JAFRABAAD EAST DELHI 1010 C GALI NO.32 NEW DELHI-110053 IN</t>
  </si>
  <si>
    <t>with labour Moti Nagar</t>
  </si>
  <si>
    <t>VISHU ENTERPRISES</t>
  </si>
  <si>
    <t>RAMESH NAGAR G/F B-50 SHARDAPURI DELHI-110015 IN</t>
  </si>
  <si>
    <t>VISHNU TRADING CO</t>
  </si>
  <si>
    <t>BARA HINDU RAO, GROUND FLOOR 6161, BAHADURGARH ROAD NORTH DELHI, NEW DELHI, DELHI, 110006, India</t>
  </si>
  <si>
    <t>MASQUE BEVERAGES (OPC) PRIVATE LIMITED</t>
  </si>
  <si>
    <t>SHAHADRA BIDHURI COMPLEX SHAHADRA SECTOR 141 OPP SHIKKA KAMNA GREENS NOIDA-201301 IN</t>
  </si>
  <si>
    <t>OM SAI HOSPITALITY</t>
  </si>
  <si>
    <t>WZ-306-R CHAUDHARY DATA RAM MARG CHHOTIYAL, PALAM VILLAGE, NEW DELHI, DELHI,110045, India</t>
  </si>
  <si>
    <t>SUPER STORES</t>
  </si>
  <si>
    <t>65/2 GAUTAM NAGAR ROAD, YUSUF SARAI, DELHI, DELHI, 110016, India</t>
  </si>
  <si>
    <t>D-63 PLOT NO OLD  KUSHMANDA MATA ROAD PRASHANT VIHAR SUB POST OFFICE SECTOR 14, ROHINI, DELHI, 110085</t>
  </si>
  <si>
    <t>DL01LAJ0343</t>
  </si>
  <si>
    <t>Avenger Supply Chain</t>
  </si>
  <si>
    <t>NAVNEET SINGH ASM GT DL</t>
  </si>
  <si>
    <t>A-9, KIRTI NAGAR, NEW DELHI, DELHI, 110015, India</t>
  </si>
  <si>
    <t>KAMAL</t>
  </si>
  <si>
    <t>VINAYAK NAGAR AJMER NEW POLICE STATION TILORA ROAD PUSHKAR-305022 IN</t>
  </si>
  <si>
    <t>DEL260088</t>
  </si>
  <si>
    <t>RJ14GT6229</t>
  </si>
  <si>
    <t>REVAT SINGH</t>
  </si>
  <si>
    <t>PADASOLI TEH. DUDU DIST. JODHPUR MISTHAN BHANDAR VILLAGE JAIPUR-303008 IN</t>
  </si>
  <si>
    <t>DEL260089</t>
  </si>
  <si>
    <t>RJ47GA2666</t>
  </si>
  <si>
    <t xml:space="preserve">RJ TANKER </t>
  </si>
  <si>
    <t>M/S MEDIA MIND</t>
  </si>
  <si>
    <t>CONNAUGHT PLACE, DELHI, DELHI</t>
  </si>
  <si>
    <t>MGH HOSPITALITY PRIVATE LIMITED</t>
  </si>
  <si>
    <t>GROUND FLOOR 7 GT KARNAL ROAD INDUSTRIAL AREA, TELEPHONE EXCHANGE, NEW DELHI, 110033, India</t>
  </si>
  <si>
    <t>GAURAV WATER SUPPLY</t>
  </si>
  <si>
    <t>BASEMENT K 83B, KALKAJI, DELHI, DELHI, 110019, India</t>
  </si>
  <si>
    <t>CHACHA &amp; SONS</t>
  </si>
  <si>
    <t>NAHARPUR SECTOR-7 ROHINI SHOP NO-03 S.K. RAO SHOPPING COMPLEX NEW DELHI-110085 IN</t>
  </si>
  <si>
    <t>NAVNEET SINGH</t>
  </si>
  <si>
    <t>SEC 7 ROHINI</t>
  </si>
  <si>
    <t>GRACIOUS EMPIRE HOSPITALITIES LLP</t>
  </si>
  <si>
    <t>PLOT NO-D PASCHIM VIHAR GROUND FLOOR UNIT NO. 5 D-MALL NEW DELHI-110087 IN</t>
  </si>
  <si>
    <t>RS IMPEX FOODS</t>
  </si>
  <si>
    <t>BADLI ROAD NEAR PRIMARY SCHOOL GROUND FLOOR KH. NO. 136/2 DELHI-110042 IN</t>
  </si>
  <si>
    <t>JUNEJA AGENCY</t>
  </si>
  <si>
    <t>NEW DELHI-110012 IN</t>
  </si>
  <si>
    <t xml:space="preserve">DL1LAM9973 </t>
  </si>
  <si>
    <t xml:space="preserve">DINESH  TRADERS </t>
  </si>
  <si>
    <t>WZ 258/3, NAGAL RAYA, NEW DELHI, DELHI</t>
  </si>
  <si>
    <t>KUSHMANDA MATA ROAD PRASHANT VIHAR SUB POST OFFICE SECTOR 14, ROHINI, DELHI, 110085, India</t>
  </si>
  <si>
    <t>GARVIT ENTERPRISES</t>
  </si>
  <si>
    <t>GROUND FLOOR WZ- 278, VILLAGE MADIPUR, NEW DELHI, DELHI, 110063, India</t>
  </si>
  <si>
    <t>NEAR MAIN GURDWARA BARU SAHIB COMPLEX, RAJGARH, HIMACHAL PRADESH, 173101, India</t>
  </si>
  <si>
    <t>PRABHDIT SINGH IMPREST JWPL1282</t>
  </si>
  <si>
    <t>PLOT NO 85 MAIN 60 FT ROAD, SEHDEV GALI VISHVAS NAGAR SHAHDARA, NEW DELHI, DELHI, 110032,</t>
  </si>
  <si>
    <t>KULDEEP SINGH</t>
  </si>
  <si>
    <t>16/1 SHIVMANDIR SHOP BEGAM PUR, MALVIYA NAGAR, NEW DELHI, DELHI, 110017, India</t>
  </si>
  <si>
    <t>NEW POLICE STATION TILORA ROAD, VINAYAK NAGAR AJMER, PUSHKAR, RAJASTHAN, 305022, India</t>
  </si>
  <si>
    <t>RMSP ROHINI HYPERMARKET LLP</t>
  </si>
  <si>
    <t>KHASRA NO 33/14 MAIN BAWANA ROAD, VILLAGE SAMAIPUR NEW DELHI NORTH DELHI, DELHI, DELHI, 110042, India</t>
  </si>
  <si>
    <t>RM HYPERMARKET PVT LTD ROHINI</t>
  </si>
  <si>
    <t>LG 1 VIKAS SURYA SHOPPING MALL, PLOT NO 18 MANGLAM PLACE SECTOR 3, NEW DELHI, DELHI, 110085, India</t>
  </si>
  <si>
    <t>RM SUPERMARKET PITAMPURA</t>
  </si>
  <si>
    <t>GROUND FLOOR 4, BLOCK PP PITAMPURA, NEW DELHI, DELHI, 110034, India</t>
  </si>
  <si>
    <t>SHOP NO.S-3 PRATAP MARKET POST OFFICE, JANGPURA B, NEW DELHI, DELHI, 110014, India</t>
  </si>
  <si>
    <t>MITTAL DISPOSABLE</t>
  </si>
  <si>
    <t>A-3/61 SHOP NO. 3, SEC-7 ROHINI, NEW DELHI, DELHI, 110085, India</t>
  </si>
  <si>
    <t>DL1LAM6634</t>
  </si>
  <si>
    <t>GROUND FLOOR 7 GT KARNAL ROAD INDUSTRIAL AREA, TELEPHONE EXCHANGE, NEW DELHI, DELHI, 110033, India</t>
  </si>
  <si>
    <t>DL01LAJ1087</t>
  </si>
  <si>
    <t>DL1LAN7988</t>
  </si>
  <si>
    <t>FUNCTION SIZE NZ 30(A), POLICE LINE MARG DTC BUS DEPOT, PRITAMPURA, DELHI, 110034, India</t>
  </si>
  <si>
    <t>G/F B-50 SHARDAPURI, RAMESH NAGAR, DELHI, DELHI, 110015, India</t>
  </si>
  <si>
    <t>INDERPREET SINGH IMPREST JWPL1329</t>
  </si>
  <si>
    <t>W-Z 314 GALI NO.317, SHIV NAGAR JANAKPURI B-1, NEW DELHI, DELHI, 110058, India</t>
  </si>
  <si>
    <t>DL01LAQ4445</t>
  </si>
  <si>
    <t>ARSH ENTERPRISES</t>
  </si>
  <si>
    <t>NEAR PETROL PUMP AAZADPUR VILL- MARORA, TEH- NUH MARORA, NUH, HARYANA, 122107, India</t>
  </si>
  <si>
    <t xml:space="preserve">delhi punjab </t>
  </si>
  <si>
    <t>RM BURARI HYPERMARKET LLP</t>
  </si>
  <si>
    <t>KH NO 122/6/1, SANT NAGAR 100 FT MAIN ROAD, BURARI, NEW DELHI, DELHI, 110084, India</t>
  </si>
  <si>
    <t>SAI RAM A-9, KIRTI NAGAR, NEW DELHI, DELHI, 110015, India</t>
  </si>
  <si>
    <t>R.N. ENTERPRISES</t>
  </si>
  <si>
    <t>GROUND FLOOR 1 T NO. 102/93, BUDHELLA VILLAGE VIKAS PURI, DELHI, DELHI, 110018, India</t>
  </si>
  <si>
    <t>WZ 2TODAPUR VILLAGE NEW DELHI, NEW DELHI, DELHI, 110012, India</t>
  </si>
  <si>
    <t>UPPER GROUND FLOOR RZ-B-32, SURAJ VIHAR KAKROLA SOUTH WEST, NEW DELHI, DELHI, 110078</t>
  </si>
  <si>
    <t>BABA JEE</t>
  </si>
  <si>
    <t>GROUND FLOOR, SHOP 71/154, PREM NAGAR NEAR GURUDWARA, NEW DLEHI, DELHI, 110058, India</t>
  </si>
  <si>
    <r>
      <rPr>
        <rFont val="Calibri"/>
      </rPr>
      <t xml:space="preserve">SECTOR 14 GROUND FLOOR HOUSE NO D-63 PLOT NO OLD 25 </t>
    </r>
    <r>
      <rPr>
        <rFont val="Calibri"/>
        <color rgb="FF000000"/>
      </rPr>
      <t>KH.NO</t>
    </r>
    <r>
      <rPr>
        <rFont val="Calibri"/>
      </rPr>
      <t>. 18/2/1 LEFT PORTION ROHINI-110085 IN</t>
    </r>
  </si>
  <si>
    <t>DL01LAM6634</t>
  </si>
  <si>
    <t>tri nagar jaega</t>
  </si>
  <si>
    <t>TALVINDER SINGH</t>
  </si>
  <si>
    <t>266/A POCKED D-6, SECTOR-6 ROHINI, NEW DELHI, DELHI, 110058, India</t>
  </si>
  <si>
    <t>DL01LAN2488</t>
  </si>
  <si>
    <t>N.K. WATER</t>
  </si>
  <si>
    <t>344 PARKASH MOHALLA, KAILASH NEAR SAPNA CINEMA, NEW DELHI, DELHI, 110065, India</t>
  </si>
  <si>
    <t>HK TRADERS</t>
  </si>
  <si>
    <t>HASTSAL VILLAGE KH NO 86/1 UTTAM NAGAR, WEST DELHI, DELHI, 110059, India</t>
  </si>
  <si>
    <t>GURU TEGH BAHADUR ENTERPRISES</t>
  </si>
  <si>
    <t>SEC-16 ROHINI F5/12 NEW DELHI-110089 IN</t>
  </si>
  <si>
    <t>rohini jaegi</t>
  </si>
  <si>
    <t>SATISH KUMAR (ROHINI)</t>
  </si>
  <si>
    <t>ROHINI SEC-5 NEW DELHI-110085 IN</t>
  </si>
  <si>
    <t>GRACIOUS EMPIRE HOSPITALITIES</t>
  </si>
  <si>
    <t>GROUND FLOOR UNIT NO. 5 D-MALL, PLOT NO-D PASCHIM VIHAR, NEW DELHI, DELHI, 110087, India</t>
  </si>
  <si>
    <t>patel nagar jaega</t>
  </si>
  <si>
    <t>KAMAL MAHAJAN</t>
  </si>
  <si>
    <t>BANARSI DAAS 318 LAL JYOTI APPARTMENT, PLOT NO. 16 SEC-9, NEW DELHI, DELHI, 110085, India</t>
  </si>
  <si>
    <t>14FT</t>
  </si>
  <si>
    <t>VILLAGE MADIPUR GROUND FLOOR WZ- 278 NEW DELHI-110063 IN</t>
  </si>
  <si>
    <t>PASCHIM VIHAR JAEGI</t>
  </si>
  <si>
    <t>MOTI NAGAR JAEGI</t>
  </si>
  <si>
    <t>BALERO</t>
  </si>
  <si>
    <t>SHASTRI NAGAR JAEGI</t>
  </si>
  <si>
    <t>VOGUE CELEBRATORS LLP</t>
  </si>
  <si>
    <t>GTK INDUSTRIAL AREA FIRST FLOOR PLOT NO. 21 BLOCK-B NEW DELHI-110033 IN</t>
  </si>
  <si>
    <t>SAME ADDRESS</t>
  </si>
  <si>
    <t>DHINGRA TRADERS</t>
  </si>
  <si>
    <t>NEAR DURGA MANDIR NEW DELHI-110027 IN</t>
  </si>
  <si>
    <t>KAROL BAGH JAEGI</t>
  </si>
  <si>
    <t>TILAK NAGAR KIRTI NAGAR, NEW DELHI, DELHI, 110015, India</t>
  </si>
  <si>
    <t>UTAM NAGAR KIRTI NAGAR, NEW DELHI, DELHI, 110015, India</t>
  </si>
  <si>
    <t xml:space="preserve">30 BOX TOMMAROW </t>
  </si>
  <si>
    <t>RJ47GA7523</t>
  </si>
  <si>
    <t>factry se uthega</t>
  </si>
  <si>
    <t>GURU KIRPA AGENCY</t>
  </si>
  <si>
    <t>7713 CLOCK TOWER, SABJI MANDI, DELHI, DELHI, 110007, India</t>
  </si>
  <si>
    <t>JATIN KUMAR</t>
  </si>
  <si>
    <t xml:space="preserve"> A 153 1ST FLOOR GANESH NAGAR TILAK NAGAR, NEW DELHI, DELHI, 110018, India</t>
  </si>
  <si>
    <t>KISHAN KUMAR MANDAL</t>
  </si>
  <si>
    <t>SHOP NO.151 GF SABJI MARKET RK PURAM, SEC 9 SOUTH WEST DELHI, NEW DELHI, DELHI, 110022, India</t>
  </si>
  <si>
    <t>Balero</t>
  </si>
  <si>
    <t>LAXMI TRADING CO.</t>
  </si>
  <si>
    <t>PAHAR GANJ SHOP NO. 16 NEHRU BAZAR NEW DELHI-110055 IN</t>
  </si>
  <si>
    <t>DL01LAL5424</t>
  </si>
  <si>
    <t>14 FT</t>
  </si>
  <si>
    <t>Dale Par</t>
  </si>
  <si>
    <t>NAVRAJ TRADING CO.</t>
  </si>
  <si>
    <t>VILLAGE BHALSWA UNNAMED ROAD YADAV BAKERY BHALSWA JAHANGIR NORTH DELHI   DELHI-110033 IN</t>
  </si>
  <si>
    <t xml:space="preserve">SUB POST OFFICE SECTOR 12 DWARKA SUNNY VALLEY B-1/801 PLOT NO-27 SECTOR-12 NSIT DWARKA DELHI-110078 </t>
  </si>
  <si>
    <t>14 Fit</t>
  </si>
  <si>
    <t>JIVO WELLNESS PVT LTD - DL</t>
  </si>
  <si>
    <t>Punjabi Bagh Club , Gate no 2 Ring Rd, near Mahanvir Nursing Home, West Punjabi Bagh , New Delhi, Delhi, 110026</t>
  </si>
  <si>
    <t>Fridge Jani hai</t>
  </si>
  <si>
    <t>GOYAL KIRYANA STORES</t>
  </si>
  <si>
    <t>GROUND FLOOR FLAT NO 25, BLOCK A POCKET 3 SECTOR 7 NEAR M2K MALL, DELHI, DELHI, 110085, India</t>
  </si>
  <si>
    <t>14 FOOT</t>
  </si>
  <si>
    <t>SECTOR-6 ROHINI 266/A POCKED D-6 NEW DELHI-110058 IN</t>
  </si>
  <si>
    <t>DL1LAR7021</t>
  </si>
  <si>
    <t>S K ENTERPRISES</t>
  </si>
  <si>
    <t>ASHOK NAGAR TILAK NAGAR SHOP NO. 2 35/16 NEW DELHI-110018 IN</t>
  </si>
  <si>
    <t>DL1LAL7290</t>
  </si>
  <si>
    <t>MURLIWALA COLD DRINKS</t>
  </si>
  <si>
    <t>NAHAR CEMENT STORE ROHINI SECTOR 20 GROUND FLOOR D-4/183-184 SUNDAY BAZAR ROAD DELHI-110086 IN</t>
  </si>
  <si>
    <t>DL1LAJ1087</t>
  </si>
  <si>
    <t>S&amp;S HOSPITALITY SERVICES INC</t>
  </si>
  <si>
    <t>MAMTA MODERN SCHOOL DWK - 54 GOLDEN APPLE LUXURY WEDDING DESTINATION VIKASPURI-110018 IN</t>
  </si>
  <si>
    <t>SAI RAM NEW DELHI-110027 IN</t>
  </si>
  <si>
    <t>32 FIT</t>
  </si>
  <si>
    <t>A 153 1ST FLOOR GANESH NAGAR TILAK NAGAR, NEW DELHI, DELHI, 110018, India</t>
  </si>
  <si>
    <t>MEDIA MIND</t>
  </si>
  <si>
    <t>22 FIT</t>
  </si>
  <si>
    <t>BASEMENT PLOT NO 75, BHERA ENCLAVE, PASCHIM VIHAR, DELHI, 110087, India</t>
  </si>
  <si>
    <t>17 FIT</t>
  </si>
  <si>
    <t>SMRITI TUTORIAL</t>
  </si>
  <si>
    <t>D 148 SECTOR 26 NOIDA, NOIDA, UTTAR PRADESH, 201301, India</t>
  </si>
  <si>
    <t>KALKAJI BASEMENT K 83B DELHI-110019 IN</t>
  </si>
  <si>
    <t>HASTSAL VILLAGE KH NO 86/1 UTTAM NAGAR UPPER GROUND FLOOR PLOT NO E-21 AND 22 WEST DELHI-110059 IN</t>
  </si>
  <si>
    <t>TELEPHONE EXCHANGE GROUND FLOOR 7 GT KARNAL ROAD INDUSTRIAL AREA NEW DELHI-110033 IN</t>
  </si>
  <si>
    <t>UMA ENTERPRISES</t>
  </si>
  <si>
    <t>MASJID COMPOUND, MAHIPALPUR PAHARI-1 NEW DELHI, DELHI, NEW DELHI, DELHI, 110037, India</t>
  </si>
  <si>
    <t>F5/12, SEC-16 ROHINI, NEW DELHI, DELHI, 110089, India</t>
  </si>
  <si>
    <t>BLINK</t>
  </si>
  <si>
    <t>GROUND FLOOR 96 DESH BANDHU GUPTA MARKET, GALI NUMBER 1 KAROL BAGH THANA, NEW DELHI, 110005, India</t>
  </si>
  <si>
    <t xml:space="preserve">DL01LAM9973 </t>
  </si>
  <si>
    <t>14 FIT</t>
  </si>
  <si>
    <t>FIRST FLOOR PLOT NO. 21 BLOCK-B, GTK INDUSTRIAL AREA, NEW DELHI, DELHI, 110033, India</t>
  </si>
  <si>
    <t>ZING BEVERAGES AGENCY</t>
  </si>
  <si>
    <t>G/F KH NO 842 D-1/137 GALI NO 3, ASHOK NAGAR MANDOLI SHAHDARA, NEW DELHI, DELHI, 110093, India</t>
  </si>
  <si>
    <t>LS TRADERS</t>
  </si>
  <si>
    <t>HOUSE NO. 534 D-21 60 FEET ROAD, RAJDHANI STORE CHHATARPUR, NEW DELHI, DELHI, 110030, India</t>
  </si>
  <si>
    <t>G-85, WEST PATEL NAGAR, NEW DELHI, DELHI, 110008, India</t>
  </si>
  <si>
    <t>B S A ENGINEERING LLP DELIVERY ILLAHI</t>
  </si>
  <si>
    <t>RMPC WEST HYPERMARKET (PALAM)</t>
  </si>
  <si>
    <t>RZ 12/2 PALAM COLONY, PURAN NAGAR, DELHI, DELHI, 110045, India</t>
  </si>
  <si>
    <r>
      <rPr>
        <rFont val="Calibri"/>
      </rPr>
      <t xml:space="preserve">SECTOR 14 GROUND FLOOR HOUSE NO D-63 PLOT NO OLD 25 </t>
    </r>
    <r>
      <rPr>
        <rFont val="Calibri"/>
        <color rgb="FF000000"/>
      </rPr>
      <t>KH.NO</t>
    </r>
    <r>
      <rPr>
        <rFont val="Calibri"/>
      </rPr>
      <t>. 18/2/1 LEFT PORTION ROHINI-110085 IN</t>
    </r>
  </si>
  <si>
    <t>BALREO</t>
  </si>
  <si>
    <t>NEAR MAIN ROAD DHEERPUR VILLAGE LEFT PORTION GROUND FLOOR HOUSE NO- 6-A DELHI-110009 IN</t>
  </si>
  <si>
    <t>BLOCK A POCKET 3 SECTOR 7 NEAR M2K MALL GROUND FLOOR FLAT NO 25 DELHI-110085 IN</t>
  </si>
  <si>
    <t>DL1LAN0395</t>
  </si>
  <si>
    <t>PLOT NO. 16 SEC-9 BANARSI DAAS 318 LAL JYOTI APPARTMENT NEW DELHI-110085 IN</t>
  </si>
  <si>
    <t>SEC-7 ROHINI A-3/61 SHOP NO. 3 NEW DELHI-110085 IN</t>
  </si>
  <si>
    <t>JAGIR PLACE HOTEL &amp; RESTAURENT</t>
  </si>
  <si>
    <t>C-6/1, MANSAROVAR GARDEN RING ROAD, NEW DELHI, DELHI, 110015, India</t>
  </si>
  <si>
    <t>RM KALKAJI HYPERMARKET</t>
  </si>
  <si>
    <t>L-13 BASEMENT, KALKAJI, NEW DELHI, DELHI, 110019, India</t>
  </si>
  <si>
    <t>RMTN SOUTH HYPERMARKET</t>
  </si>
  <si>
    <t>A-138 GROUND FLOOR, TAIMOOR NAGAR NEW FRIENDS COLONY, NEW DELHI, DELHI, 110025, India</t>
  </si>
  <si>
    <t>SMFN HYPERMARKET</t>
  </si>
  <si>
    <t>FATEH NAGAR GROUND FLOOR FLAT NO D-28 &amp; 29 NEW DELHI-110018 IN</t>
  </si>
  <si>
    <t>RM VISHNUGARDEN HYPERMARKET</t>
  </si>
  <si>
    <t>G-41 KHYALA ROAD, SHYAM NAGAR, NEW DELHI, DELHI, 110018, India</t>
  </si>
  <si>
    <t>CHAITANYA AHUJA</t>
  </si>
  <si>
    <t>SEHDEV GALI VISHVAS NAGAR SHAHDARA PLOT NO 85 MAIN 60 FT ROAD NEW DELHI-110032 IN</t>
  </si>
  <si>
    <t>14 Ft</t>
  </si>
  <si>
    <t>SHIVANSH BEVERAGES</t>
  </si>
  <si>
    <t>77/19/1 NEW SHIV PURI COLONY POWER HOUSE KUNDLI-131028 IN</t>
  </si>
  <si>
    <t>SHAKUN STORE</t>
  </si>
  <si>
    <t>3232 RANJEET NAGAR, NEW DELHI, DELHI, 110008, India</t>
  </si>
  <si>
    <t>PRASHANT VIHAR SECTOR 14 GROUND FLOOR HOUSE NO D-63 PLOT NO OLD 25  LEFT PORTION ROHINI-110085 IN</t>
  </si>
  <si>
    <t>DL01AJ1087</t>
  </si>
  <si>
    <t>HITESH GAHLOT</t>
  </si>
  <si>
    <t>OPPOSITE GOVT HIGH SCHOOL SHIVA JI NAGAR HOUSE NO.5/68 BERI WALA BAGH GURGAON-122001 IN</t>
  </si>
  <si>
    <t>One Transport</t>
  </si>
  <si>
    <t>YADAV COLD DRINK</t>
  </si>
  <si>
    <t>BADLI H NO. 307 DELHI-110042 IN</t>
  </si>
  <si>
    <t>DL01LAN0395</t>
  </si>
  <si>
    <t>RM SUPER BAZAAR PVT LTD ASHOK VIHAR</t>
  </si>
  <si>
    <t>ASHOK VIHAR C 3/7 PHASE II NEW DELHI-110052 IN</t>
  </si>
  <si>
    <t>RMKB HYPERMARKET LLP</t>
  </si>
  <si>
    <t>NORTH DELHI KAROL BAGH NEW DELHI NEW DELHI-110005 IN</t>
  </si>
  <si>
    <t>RMMT HYPERMARKET LLP</t>
  </si>
  <si>
    <t>MODEL TOWN III, NEW DELHI, DELHI, NEW DELHI, DELHI, 110009, India</t>
  </si>
  <si>
    <t>20 Ft</t>
  </si>
  <si>
    <t>RMPV HYPERMARKET</t>
  </si>
  <si>
    <t>PARSHANT VIHAR ROHINI HOUSE NO.2/5 BLOCK-C DELHI-110085 IN</t>
  </si>
  <si>
    <t>RM MEERABAGH HYPERMARKET</t>
  </si>
  <si>
    <t>MEERA BAGH GROUND FLOOR A-5 PASCHIM VIHAR-110063 IN</t>
  </si>
  <si>
    <t>RMTN HYPERMARKET (TILAK NAGAR)</t>
  </si>
  <si>
    <t>NO 496, TILAK NAGAR, WEST,DELHI, DELHI NEW DELHI-110018 IN</t>
  </si>
  <si>
    <t>SHRI GURU RAM RAI JI ENTERPRISES</t>
  </si>
  <si>
    <t>RAVI NAGAR MARG VISHNU GARDEN FIRST FLOOR S-221/83 STREET NUMBER 2 NEW DELHI-110018 IN</t>
  </si>
  <si>
    <t>22 Fit</t>
  </si>
  <si>
    <t>BUDHELLA VILLAGE VIKAS PURI GROUND FLOOR 1 T NO. 102/93 DELHI-110018 IN</t>
  </si>
  <si>
    <t>SEC 9 SOUTH WEST DELHI SHOP NO.151 GF SABJI MARKET RK PURAM NEW DELHI-110022 IN</t>
  </si>
  <si>
    <t>A S HOSPITALITY</t>
  </si>
  <si>
    <t>G.T. KARNAL ROAD INDUSTRIAL AREA B-17 NEW DELHI-110033 IN</t>
  </si>
  <si>
    <t>PMIP HYPERMARKET</t>
  </si>
  <si>
    <t>INDRA PARK GROUND FLOOR B-1/1 KH NO 790/625/1 PALAM COLONY DELHI-110045 IN</t>
  </si>
  <si>
    <t>RMME HYPERMARKET</t>
  </si>
  <si>
    <t xml:space="preserve">PALAM DABRI ROAD VILLAGE NASIRPUR MAHAVEER ENCLAVE PLOT NO-2 KHASRA NO-64 D-3 GALI NO-9 DELHI-110045 </t>
  </si>
  <si>
    <t>RMVG WEST HYPERMARKET (VG OLD)</t>
  </si>
  <si>
    <t>SHAM NAGAR GROUND FLOOR M-12 NEW DELHI-110018 IN</t>
  </si>
  <si>
    <t>PM BUDH VIHAR HYPERMARKET</t>
  </si>
  <si>
    <t>MAIN KANJHAWALA ROAD BUDH VIHAR PHASE-1 GROUND FLOOR FLAT NO. A-37 NEW DELHI-110086 IN</t>
  </si>
  <si>
    <t>KAILASH NEAR SAPNA CINEMA 344 PARKASH MOHALLA NEW DELHI-110065 IN</t>
  </si>
  <si>
    <t>VILLAGE SAMAIPUR NEW DELHI NORTH DELHI KHASRA NO 33/14 MAIN BAWANA ROAD DELHI-110042 IN</t>
  </si>
  <si>
    <t>DL1LAR2914</t>
  </si>
  <si>
    <t>RAJ MANDIR HYPER MARKET MN</t>
  </si>
  <si>
    <t>MALVIYA NAGAR SHOP N0. 45 CORNER MARKET NEW DELHI-110017 IN</t>
  </si>
  <si>
    <t xml:space="preserve">GOLDY  VG </t>
  </si>
  <si>
    <t>PLOT NO 3 SY NO 198/123 G2, OFFICERS COLONY RK PURAM, NEREDMET MEDCHAL HYDERABAD, TE, IN</t>
  </si>
  <si>
    <t xml:space="preserve">FIRST VEHICLE OUT </t>
  </si>
  <si>
    <t>RAJDHANI STORE CHHATARPUR HOUSE NO. 534 D-21 60 FEET ROAD NEW DELHI-110030 IN</t>
  </si>
  <si>
    <t>Safe shop NEW DELHI-110027 IN</t>
  </si>
  <si>
    <t>NITESH KUMAR JAIWALYA</t>
  </si>
  <si>
    <t>TEHSIL MOUJAMABAD, PARASOLI, JAIPUR, RAJASTHAN, 303008, India</t>
  </si>
  <si>
    <t>RJ47GA7516</t>
  </si>
  <si>
    <t>BASEMENT 30/46 OLD RAJINDER NAGAR MARKET DELHI, NEW DELHI, DL, IN</t>
  </si>
  <si>
    <t xml:space="preserve">Physical stock not available </t>
  </si>
  <si>
    <t>20-11-2025</t>
  </si>
  <si>
    <t>Physical stock not available</t>
  </si>
  <si>
    <t>GURWINDERJEET SINGH DELHI</t>
  </si>
  <si>
    <t>DELHI DELHI-110027 IN</t>
  </si>
  <si>
    <t>Transporters Name</t>
  </si>
  <si>
    <t xml:space="preserve">G S T   NO. </t>
  </si>
  <si>
    <t>Contact Person</t>
  </si>
  <si>
    <t>Contact No.</t>
  </si>
  <si>
    <t>Work Location</t>
  </si>
  <si>
    <t>ABC Express</t>
  </si>
  <si>
    <t>07ABIFA0404D1Z6</t>
  </si>
  <si>
    <t>Arvind Yadav</t>
  </si>
  <si>
    <t>7065131313, 7065001055</t>
  </si>
  <si>
    <t>ROI</t>
  </si>
  <si>
    <t xml:space="preserve">ABHIMAAN EXPRESS </t>
  </si>
  <si>
    <t>07ACLFA8846M1ZO</t>
  </si>
  <si>
    <t>Abhishek Sharma</t>
  </si>
  <si>
    <t>870 092 6578</t>
  </si>
  <si>
    <t>FTL ROI</t>
  </si>
  <si>
    <t>Air Trans Logistics</t>
  </si>
  <si>
    <t>07AGSPN9633Q1Z8</t>
  </si>
  <si>
    <t>Taran Singh</t>
  </si>
  <si>
    <t>AP &amp; TL</t>
  </si>
  <si>
    <t>ALL INDIA ROAD CARRIER</t>
  </si>
  <si>
    <t>07APPPB3219N1ZO</t>
  </si>
  <si>
    <t>Satish Bhati Ji</t>
  </si>
  <si>
    <t>PTL &amp; FTL ROI</t>
  </si>
  <si>
    <t xml:space="preserve">AMOD KUMAR TRANSPORT </t>
  </si>
  <si>
    <t>07DQFPK7671M3Z4</t>
  </si>
  <si>
    <t xml:space="preserve">PARMOD KUMAR </t>
  </si>
  <si>
    <t>Delhi NCR</t>
  </si>
  <si>
    <t>Arnav Transport Service</t>
  </si>
  <si>
    <t>07ACBPY4022H1ZO</t>
  </si>
  <si>
    <t>Lalit Yadav</t>
  </si>
  <si>
    <t>Avenger Supply Chain Solutions LLP1st</t>
  </si>
  <si>
    <t>07ABOFA2746E1ZH</t>
  </si>
  <si>
    <t>Baba Mirchi Nath Transport Co.</t>
  </si>
  <si>
    <t>06DGXPS0856L1ZG</t>
  </si>
  <si>
    <t>Sonu Kaushik</t>
  </si>
  <si>
    <t>9050503589, 9315459430</t>
  </si>
  <si>
    <t>Bala Ji Transport Service</t>
  </si>
  <si>
    <t>06BHCPS5600L3Z7</t>
  </si>
  <si>
    <t>BARAL LOGISTICS PRIVATE</t>
  </si>
  <si>
    <t>07AAFCB7189K1Z5</t>
  </si>
  <si>
    <t>Mukesh Ji</t>
  </si>
  <si>
    <t xml:space="preserve">BHARGAVE ROAD CARRIER </t>
  </si>
  <si>
    <t>07BZQPP0903H1Z8</t>
  </si>
  <si>
    <t>PRADEEP</t>
  </si>
  <si>
    <t>BOMBY SRINAGAR TRANSPORT REGD</t>
  </si>
  <si>
    <t>07AAXFB9863D1ZV</t>
  </si>
  <si>
    <t>KRISHAN VEER SINGH</t>
  </si>
  <si>
    <t>COMMERCIAL TRANSPORT COMPANY</t>
  </si>
  <si>
    <t>07AAIFC7465M1ZW</t>
  </si>
  <si>
    <t>Kishan</t>
  </si>
  <si>
    <t xml:space="preserve">Deekay roadlines </t>
  </si>
  <si>
    <t>06AXPPK4554R1ZL</t>
  </si>
  <si>
    <t xml:space="preserve">DELHI ,PUNJAB </t>
  </si>
  <si>
    <t>DELHI MP CARRIER</t>
  </si>
  <si>
    <t>07AMFPK1311B1ZV</t>
  </si>
  <si>
    <t>DELHI PUNJAB TRANSPORT CO</t>
  </si>
  <si>
    <t>06AANFD7642N1ZV</t>
  </si>
  <si>
    <t>SONU</t>
  </si>
  <si>
    <t>PANIPAT</t>
  </si>
  <si>
    <t>DPR CARGO PRIVATE LIMITED</t>
  </si>
  <si>
    <t>06AAECD3850C1Z3</t>
  </si>
  <si>
    <t xml:space="preserve">Sunil Choudhary </t>
  </si>
  <si>
    <t>Haryana Punjab FTL</t>
  </si>
  <si>
    <t>DTDC Express Limited</t>
  </si>
  <si>
    <t>88AAACD8017H1ZX</t>
  </si>
  <si>
    <t>Mr. Dhananjay Pandey</t>
  </si>
  <si>
    <t>9518007439, 9650931428</t>
  </si>
  <si>
    <t>PTL ROI</t>
  </si>
  <si>
    <t>ETHICS EXPRESS PRIVATE LIMITED</t>
  </si>
  <si>
    <t>24AAGCE5963P1Z1</t>
  </si>
  <si>
    <t>Mr. Gopal Chawla</t>
  </si>
  <si>
    <t>GHAI LOGISTICS</t>
  </si>
  <si>
    <t>08BRFPG1253A1ZF</t>
  </si>
  <si>
    <t>Avjot Singh</t>
  </si>
  <si>
    <t>Rajsthan</t>
  </si>
  <si>
    <t xml:space="preserve">GURMUKH Cargo service </t>
  </si>
  <si>
    <t>03EUYPK6598D1ZX</t>
  </si>
  <si>
    <t xml:space="preserve">Vinod Sharma </t>
  </si>
  <si>
    <t>Haryana/ Punjab/ ROI FTL</t>
  </si>
  <si>
    <t>Guru Nanak Transport Service</t>
  </si>
  <si>
    <t>06ARDPB1487C3Z9</t>
  </si>
  <si>
    <t>Jaitender Singh Bhatiya</t>
  </si>
  <si>
    <t>HARYANA DELHI TRANSPORT CO.</t>
  </si>
  <si>
    <t>06GIPPS5793P1ZU</t>
  </si>
  <si>
    <t>Mr. Sangeet</t>
  </si>
  <si>
    <t>Haryana Express Logistics</t>
  </si>
  <si>
    <t>06BGFPP8298F1ZW</t>
  </si>
  <si>
    <t>Sushil  Sharma</t>
  </si>
  <si>
    <t xml:space="preserve">Hind Logistics Corporation </t>
  </si>
  <si>
    <t>06CFOPS0786B1Z9</t>
  </si>
  <si>
    <t xml:space="preserve">Mahendar Singh </t>
  </si>
  <si>
    <t>Inland World Logistics Ltd.</t>
  </si>
  <si>
    <t>07AAACI5607C1Z1</t>
  </si>
  <si>
    <t>Rajeev Jha</t>
  </si>
  <si>
    <t>9582996606, 9599697328</t>
  </si>
  <si>
    <t>JIVO WELLNESS PVT. LTD .</t>
  </si>
  <si>
    <t>06AACCJ4223F1Z0</t>
  </si>
  <si>
    <t>Jivo@1513</t>
  </si>
  <si>
    <t>--------</t>
  </si>
  <si>
    <t>-------</t>
  </si>
  <si>
    <t>Laxmi Transport Service</t>
  </si>
  <si>
    <t>06AUXPK7462K1ZS</t>
  </si>
  <si>
    <t>Pramod Kumar</t>
  </si>
  <si>
    <t>Maa Annapurna Transport Agency Pvt. Ltd.</t>
  </si>
  <si>
    <t>88AADCM0917A2ZX</t>
  </si>
  <si>
    <t>Ram Singh Ji,Mr Rajesh</t>
  </si>
  <si>
    <t>Mahadev Tempo Service</t>
  </si>
  <si>
    <t>06ASIPV4372J2Z6</t>
  </si>
  <si>
    <t>Vijay</t>
  </si>
  <si>
    <t>Mahavir Transport Company</t>
  </si>
  <si>
    <t>06AOUPJ8083N1ZZ</t>
  </si>
  <si>
    <t xml:space="preserve">Mr. Sunil Jain </t>
  </si>
  <si>
    <t>Mehra Cold Storage &amp; Logistics</t>
  </si>
  <si>
    <t>07AAPFM4801N1ZV</t>
  </si>
  <si>
    <t>Parwaz Arora</t>
  </si>
  <si>
    <t>Delhi NCR &amp; HR, PB</t>
  </si>
  <si>
    <t>NTL - LOGISTICS (INDIA) PRIVATE LIMITED</t>
  </si>
  <si>
    <t>07AAACL6710B1Z2</t>
  </si>
  <si>
    <t>MD GUFRAN ALI</t>
  </si>
  <si>
    <t>Okhla</t>
  </si>
  <si>
    <t>OM LOGISTICS SUPPLY CHAIN PVT LTD</t>
  </si>
  <si>
    <t>88AAECO4660K1Z7</t>
  </si>
  <si>
    <t xml:space="preserve">PRASHANT NEGI </t>
  </si>
  <si>
    <t>9811681184/8397970434</t>
  </si>
  <si>
    <t xml:space="preserve">PTL ROI </t>
  </si>
  <si>
    <t>Orange Cargo Carriers</t>
  </si>
  <si>
    <t>07AGOPM6239K2ZS</t>
  </si>
  <si>
    <t>Jaiveer Singh</t>
  </si>
  <si>
    <t>7011997876, 9212432073</t>
  </si>
  <si>
    <t>PTL South</t>
  </si>
  <si>
    <t>Parjapati Freight Carrier</t>
  </si>
  <si>
    <t>07CTEPM2383P1Z3</t>
  </si>
  <si>
    <t>Manmohan</t>
  </si>
  <si>
    <t>09AAQCP4145A1ZF</t>
  </si>
  <si>
    <t xml:space="preserve">Dilip Shukla </t>
  </si>
  <si>
    <t>99580 07610</t>
  </si>
  <si>
    <t>PICKALL</t>
  </si>
  <si>
    <t>09AMRPJ9382P1ZS</t>
  </si>
  <si>
    <t>SUNDRAM JHA</t>
  </si>
  <si>
    <t>9910233122, 892992559</t>
  </si>
  <si>
    <t>27AZLPS6165Q1Z8</t>
  </si>
  <si>
    <t>Rahul Sharma</t>
  </si>
  <si>
    <t>88069 31111</t>
  </si>
  <si>
    <t>Punjab Himanchal Transport Service</t>
  </si>
  <si>
    <t>07BUIPK4042H2ZO</t>
  </si>
  <si>
    <t>Naresh Ji</t>
  </si>
  <si>
    <t>RCM LOGISTICS</t>
  </si>
  <si>
    <t>03ABCPG8401G1ZA</t>
  </si>
  <si>
    <t>Haryana Punjab ROI FTL</t>
  </si>
  <si>
    <t xml:space="preserve">RISHABH TRANSPORT </t>
  </si>
  <si>
    <t>07BFWPM0763A1ZE</t>
  </si>
  <si>
    <t>Laxmi Chand Mishra</t>
  </si>
  <si>
    <t>ROHIT CARGO MOVERS PRIVATE LIMITED</t>
  </si>
  <si>
    <t>03AADCR0828B1Z2</t>
  </si>
  <si>
    <t>Shree Shyam Logistics</t>
  </si>
  <si>
    <t>05GHFPS8436E1Z2</t>
  </si>
  <si>
    <t>Ram Vilas Sharma</t>
  </si>
  <si>
    <t>SINGH TRANSPORT GOODS CARRIER</t>
  </si>
  <si>
    <t>09ADCFS0005Q4ZV</t>
  </si>
  <si>
    <t>Chandra Shekhar Singh</t>
  </si>
  <si>
    <t>Sonepat Goods Carrier</t>
  </si>
  <si>
    <t>06HIGPS1204H1ZD</t>
  </si>
  <si>
    <t>Gurcharan Singh Ji</t>
  </si>
  <si>
    <t>Tejas Logistics</t>
  </si>
  <si>
    <t>09HGKPS4468H1ZK</t>
  </si>
  <si>
    <t>Mahender Sah</t>
  </si>
  <si>
    <t>CSD Supply</t>
  </si>
  <si>
    <t xml:space="preserve">TRUEX LOGISTCS </t>
  </si>
  <si>
    <t>09AALCT2810P1ZT</t>
  </si>
  <si>
    <t>Mr. Rijwan</t>
  </si>
  <si>
    <t xml:space="preserve">VEDANT FREIGHT CARRIER PVT. LTD. </t>
  </si>
  <si>
    <t>06AAJCV2766L1ZS</t>
  </si>
  <si>
    <t>DUSHAR WADHAWA</t>
  </si>
  <si>
    <t>VELVET LADDER PRIVATE LIMITED</t>
  </si>
  <si>
    <t>06AACCW4426H2ZD</t>
  </si>
  <si>
    <t>MD Gurfan Ali</t>
  </si>
  <si>
    <t>VIP Transport Company</t>
  </si>
  <si>
    <t>07AADFV5045P1ZO</t>
  </si>
  <si>
    <t>Manjeet Singh Ji</t>
  </si>
  <si>
    <t>9811158125, 9312651049</t>
  </si>
  <si>
    <t>DATE  02/05/2026</t>
  </si>
  <si>
    <t xml:space="preserve">VEHICLE NO </t>
  </si>
  <si>
    <t xml:space="preserve">TRANSPORT NAME </t>
  </si>
  <si>
    <t xml:space="preserve">DALA </t>
  </si>
  <si>
    <t>DATE  03/05/2026</t>
  </si>
  <si>
    <t>DATE  04/05/2026</t>
  </si>
  <si>
    <t>Weight Kg</t>
  </si>
  <si>
    <t xml:space="preserve">Bilty made in </t>
  </si>
  <si>
    <t xml:space="preserve">Value /BOX </t>
  </si>
  <si>
    <t>Box Quantity</t>
  </si>
  <si>
    <t>Party Name</t>
  </si>
  <si>
    <t>Ltr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</si>
</sst>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/dd/yyyy"/>
  </numFmts>
  <fonts count="35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</font>
    <font>
      <b/>
      <sz val="15.0"/>
      <color theme="1"/>
      <name val="Calibri"/>
    </font>
    <font>
      <b/>
      <sz val="15.0"/>
      <color theme="1"/>
      <name val="Arial"/>
    </font>
    <font>
      <color theme="1"/>
      <name val="Calibri"/>
    </font>
    <font>
      <u/>
      <color rgb="FF0000FF"/>
      <name val="Calibri"/>
    </font>
    <font>
      <b/>
      <sz val="18.0"/>
      <color theme="1"/>
      <name val="Calibri"/>
    </font>
    <font>
      <sz val="15.0"/>
      <color theme="1"/>
      <name val="Arial"/>
    </font>
    <font>
      <sz val="16.0"/>
      <color theme="1"/>
      <name val="Calibri"/>
    </font>
    <font>
      <b/>
      <sz val="17.0"/>
      <color theme="1"/>
      <name val="Calibri"/>
    </font>
    <font>
      <color theme="1"/>
      <name val="Verdana"/>
    </font>
    <font>
      <sz val="8.0"/>
      <color rgb="FF3D85C6"/>
      <name val="&quot;Google Sans&quot;"/>
    </font>
    <font>
      <color rgb="FF000000"/>
      <name val="Arial"/>
    </font>
    <font>
      <color theme="1"/>
      <name val="Arial"/>
      <scheme val="minor"/>
    </font>
    <font>
      <b/>
      <sz val="19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rgb="FF000000"/>
      <name val="Calibri"/>
    </font>
    <font>
      <sz val="8.0"/>
      <color rgb="FF212529"/>
      <name val="&quot;Open Sans&quot;"/>
    </font>
    <font>
      <sz val="11.0"/>
      <color rgb="FF000000"/>
      <name val="Calibri"/>
    </font>
    <font>
      <color rgb="FF0F1111"/>
      <name val="Arial"/>
    </font>
    <font>
      <b/>
      <sz val="17.0"/>
      <color rgb="FF000000"/>
      <name val="Calibri"/>
    </font>
    <font>
      <sz val="16.0"/>
      <color theme="1"/>
      <name val="Arial"/>
    </font>
    <font>
      <u/>
      <color rgb="FF0000FF"/>
      <name val="Calibri"/>
    </font>
    <font>
      <sz val="10.0"/>
      <color rgb="FF1F1F1F"/>
      <name val="Calibri"/>
    </font>
    <font>
      <b/>
      <color theme="1"/>
      <name val="Calibri"/>
    </font>
    <font>
      <u/>
      <color rgb="FF0000FF"/>
      <name val="Calibri"/>
    </font>
    <font>
      <u/>
      <color rgb="FF0000FF"/>
      <name val="Calibri"/>
    </font>
    <font>
      <b/>
      <sz val="15.0"/>
      <color theme="1"/>
      <name val="Arial"/>
      <scheme val="minor"/>
    </font>
    <font>
      <b/>
      <sz val="16.0"/>
      <color theme="1"/>
      <name val="Verdana"/>
    </font>
    <font>
      <color rgb="FF212529"/>
      <name val="Verdana"/>
    </font>
    <font>
      <sz val="16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8F2EB"/>
        <bgColor rgb="FFF8F2EB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E8E7FC"/>
        <bgColor rgb="FFE8E7F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8FAFD"/>
        <bgColor rgb="FFF8FAF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E0F7FA"/>
        <bgColor rgb="FFE0F7FA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3" numFmtId="164" xfId="0" applyAlignment="1" applyFont="1" applyNumberFormat="1">
      <alignment horizontal="center" shrinkToFit="0" wrapText="0"/>
    </xf>
    <xf borderId="0" fillId="2" fontId="3" numFmtId="0" xfId="0" applyAlignment="1" applyFont="1">
      <alignment horizontal="center" shrinkToFit="0" wrapText="0"/>
    </xf>
    <xf borderId="0" fillId="2" fontId="3" numFmtId="3" xfId="0" applyAlignment="1" applyFont="1" applyNumberFormat="1">
      <alignment horizontal="center" shrinkToFit="0" wrapText="0"/>
    </xf>
    <xf borderId="0" fillId="2" fontId="3" numFmtId="2" xfId="0" applyAlignment="1" applyFont="1" applyNumberFormat="1">
      <alignment horizontal="center" shrinkToFit="0" textRotation="0" wrapText="0"/>
    </xf>
    <xf borderId="0" fillId="2" fontId="3" numFmtId="2" xfId="0" applyAlignment="1" applyFont="1" applyNumberFormat="1">
      <alignment horizontal="center" shrinkToFit="0" wrapText="0"/>
    </xf>
    <xf borderId="0" fillId="2" fontId="3" numFmtId="1" xfId="0" applyAlignment="1" applyFont="1" applyNumberFormat="1">
      <alignment horizontal="center" shrinkToFit="0" wrapText="0"/>
    </xf>
    <xf borderId="0" fillId="2" fontId="4" numFmtId="0" xfId="0" applyAlignment="1" applyFont="1">
      <alignment shrinkToFit="0" wrapText="0"/>
    </xf>
    <xf borderId="0" fillId="2" fontId="4" numFmtId="0" xfId="0" applyAlignment="1" applyFont="1">
      <alignment shrinkToFit="0" vertical="bottom" wrapText="0"/>
    </xf>
    <xf borderId="0" fillId="3" fontId="5" numFmtId="164" xfId="0" applyAlignment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5" fontId="5" numFmtId="0" xfId="0" applyAlignment="1" applyFill="1" applyFont="1">
      <alignment horizontal="center" vertical="bottom"/>
    </xf>
    <xf borderId="0" fillId="3" fontId="5" numFmtId="3" xfId="0" applyAlignment="1" applyFont="1" applyNumberFormat="1">
      <alignment horizontal="center" vertical="bottom"/>
    </xf>
    <xf borderId="0" fillId="6" fontId="5" numFmtId="164" xfId="0" applyAlignment="1" applyFill="1" applyFont="1" applyNumberFormat="1">
      <alignment horizontal="center" vertical="bottom"/>
    </xf>
    <xf borderId="0" fillId="6" fontId="5" numFmtId="0" xfId="0" applyAlignment="1" applyFont="1">
      <alignment horizontal="center" vertical="bottom"/>
    </xf>
    <xf borderId="0" fillId="6" fontId="2" numFmtId="0" xfId="0" applyAlignment="1" applyFont="1">
      <alignment vertical="bottom"/>
    </xf>
    <xf borderId="0" fillId="6" fontId="5" numFmtId="3" xfId="0" applyAlignment="1" applyFont="1" applyNumberFormat="1">
      <alignment horizontal="center" vertical="bottom"/>
    </xf>
    <xf borderId="0" fillId="6" fontId="2" numFmtId="2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3" fontId="2" numFmtId="2" xfId="0" applyAlignment="1" applyFont="1" applyNumberFormat="1">
      <alignment vertical="bottom"/>
    </xf>
    <xf borderId="0" fillId="6" fontId="2" numFmtId="164" xfId="0" applyAlignment="1" applyFont="1" applyNumberFormat="1">
      <alignment vertical="bottom"/>
    </xf>
    <xf borderId="0" fillId="6" fontId="2" numFmtId="3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3" fontId="7" numFmtId="3" xfId="0" applyAlignment="1" applyFont="1" applyNumberFormat="1">
      <alignment horizontal="center" vertical="bottom"/>
    </xf>
    <xf borderId="0" fillId="7" fontId="1" numFmtId="164" xfId="0" applyAlignment="1" applyFill="1" applyFont="1" applyNumberFormat="1">
      <alignment horizontal="center" readingOrder="0" shrinkToFit="0" vertical="bottom" wrapText="1"/>
    </xf>
    <xf borderId="0" fillId="3" fontId="2" numFmtId="1" xfId="0" applyAlignment="1" applyFont="1" applyNumberFormat="1">
      <alignment vertical="bottom"/>
    </xf>
    <xf borderId="0" fillId="3" fontId="2" numFmtId="3" xfId="0" applyAlignment="1" applyFont="1" applyNumberFormat="1">
      <alignment vertical="bottom"/>
    </xf>
    <xf borderId="0" fillId="8" fontId="2" numFmtId="0" xfId="0" applyAlignment="1" applyFill="1" applyFont="1">
      <alignment vertical="bottom"/>
    </xf>
    <xf borderId="0" fillId="2" fontId="8" numFmtId="0" xfId="0" applyAlignment="1" applyFont="1">
      <alignment shrinkToFit="0" wrapText="0"/>
    </xf>
    <xf borderId="0" fillId="2" fontId="8" numFmtId="0" xfId="0" applyAlignment="1" applyFont="1">
      <alignment shrinkToFit="0" vertical="bottom" wrapText="0"/>
    </xf>
    <xf borderId="0" fillId="6" fontId="2" numFmtId="0" xfId="0" applyAlignment="1" applyFont="1">
      <alignment horizontal="center" vertical="bottom"/>
    </xf>
    <xf borderId="0" fillId="6" fontId="5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3" fontId="5" numFmtId="3" xfId="0" applyAlignment="1" applyFont="1" applyNumberForma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6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5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5" fontId="5" numFmtId="0" xfId="0" applyAlignment="1" applyFont="1">
      <alignment horizontal="center"/>
    </xf>
    <xf borderId="0" fillId="6" fontId="3" numFmtId="3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0" fillId="2" fontId="1" numFmtId="3" xfId="0" applyAlignment="1" applyFont="1" applyNumberFormat="1">
      <alignment horizontal="center" shrinkToFit="0" wrapText="0"/>
    </xf>
    <xf borderId="0" fillId="2" fontId="1" numFmtId="2" xfId="0" applyAlignment="1" applyFont="1" applyNumberFormat="1">
      <alignment horizontal="center" shrinkToFit="0" textRotation="0" wrapText="0"/>
    </xf>
    <xf borderId="0" fillId="2" fontId="1" numFmtId="2" xfId="0" applyAlignment="1" applyFont="1" applyNumberFormat="1">
      <alignment horizontal="center" shrinkToFit="0" wrapText="0"/>
    </xf>
    <xf borderId="0" fillId="2" fontId="1" numFmtId="1" xfId="0" applyAlignment="1" applyFont="1" applyNumberFormat="1">
      <alignment horizontal="center" shrinkToFit="0" wrapText="0"/>
    </xf>
    <xf borderId="0" fillId="2" fontId="9" numFmtId="0" xfId="0" applyAlignment="1" applyFont="1">
      <alignment horizontal="center" shrinkToFit="0" wrapText="0"/>
    </xf>
    <xf borderId="0" fillId="2" fontId="9" numFmtId="0" xfId="0" applyAlignment="1" applyFont="1">
      <alignment horizontal="center" shrinkToFit="0" vertical="bottom" wrapText="0"/>
    </xf>
    <xf borderId="0" fillId="6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0" fontId="5" numFmtId="3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center"/>
    </xf>
    <xf borderId="0" fillId="6" fontId="5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3" fontId="1" numFmtId="3" xfId="0" applyAlignment="1" applyFont="1" applyNumberFormat="1">
      <alignment horizontal="center" vertical="bottom"/>
    </xf>
    <xf borderId="0" fillId="9" fontId="5" numFmtId="0" xfId="0" applyAlignment="1" applyFill="1" applyFont="1">
      <alignment horizontal="center" vertical="bottom"/>
    </xf>
    <xf borderId="0" fillId="3" fontId="5" numFmtId="165" xfId="0" applyAlignment="1" applyFont="1" applyNumberFormat="1">
      <alignment horizontal="center" vertical="bottom"/>
    </xf>
    <xf borderId="0" fillId="5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5" numFmtId="3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0" fontId="7" numFmtId="3" xfId="0" applyAlignment="1" applyFont="1" applyNumberFormat="1">
      <alignment horizontal="center"/>
    </xf>
    <xf borderId="0" fillId="9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/>
    </xf>
    <xf borderId="0" fillId="3" fontId="5" numFmtId="1" xfId="0" applyAlignment="1" applyFont="1" applyNumberFormat="1">
      <alignment horizontal="center" vertical="bottom"/>
    </xf>
    <xf borderId="0" fillId="10" fontId="5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10" fontId="5" numFmtId="0" xfId="0" applyAlignment="1" applyFont="1">
      <alignment horizontal="center"/>
    </xf>
    <xf borderId="0" fillId="10" fontId="5" numFmtId="0" xfId="0" applyAlignment="1" applyFont="1">
      <alignment horizontal="center" vertical="bottom"/>
    </xf>
    <xf borderId="0" fillId="0" fontId="10" numFmtId="3" xfId="0" applyAlignment="1" applyFont="1" applyNumberFormat="1">
      <alignment horizontal="center"/>
    </xf>
    <xf borderId="0" fillId="2" fontId="1" numFmtId="164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2" fontId="1" numFmtId="3" xfId="0" applyAlignment="1" applyFont="1" applyNumberFormat="1">
      <alignment horizontal="center" shrinkToFit="0" wrapText="1"/>
    </xf>
    <xf borderId="0" fillId="2" fontId="1" numFmtId="2" xfId="0" applyAlignment="1" applyFont="1" applyNumberFormat="1">
      <alignment horizontal="center" shrinkToFit="0" textRotation="0" wrapText="1"/>
    </xf>
    <xf borderId="0" fillId="2" fontId="1" numFmtId="2" xfId="0" applyAlignment="1" applyFont="1" applyNumberFormat="1">
      <alignment horizontal="center" shrinkToFit="0" wrapText="1"/>
    </xf>
    <xf borderId="0" fillId="2" fontId="1" numFmtId="1" xfId="0" applyAlignment="1" applyFont="1" applyNumberForma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0" fillId="2" fontId="9" numFmtId="0" xfId="0" applyAlignment="1" applyFont="1">
      <alignment horizontal="center" shrinkToFit="0" vertical="bottom" wrapText="1"/>
    </xf>
    <xf borderId="0" fillId="8" fontId="5" numFmtId="0" xfId="0" applyAlignment="1" applyFont="1">
      <alignment horizontal="center"/>
    </xf>
    <xf borderId="0" fillId="0" fontId="5" numFmtId="0" xfId="0" applyFont="1"/>
    <xf borderId="0" fillId="8" fontId="5" numFmtId="0" xfId="0" applyAlignment="1" applyFont="1">
      <alignment horizontal="center" readingOrder="0"/>
    </xf>
    <xf borderId="0" fillId="9" fontId="11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164" xfId="0" applyAlignment="1" applyFont="1" applyNumberFormat="1">
      <alignment vertical="bottom"/>
    </xf>
    <xf borderId="0" fillId="0" fontId="3" numFmtId="3" xfId="0" applyAlignment="1" applyFont="1" applyNumberFormat="1">
      <alignment horizontal="center"/>
    </xf>
    <xf borderId="0" fillId="8" fontId="5" numFmtId="0" xfId="0" applyAlignment="1" applyFont="1">
      <alignment horizontal="center" vertical="bottom"/>
    </xf>
    <xf borderId="1" fillId="0" fontId="13" numFmtId="0" xfId="0" applyAlignment="1" applyBorder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1"/>
    </xf>
    <xf borderId="0" fillId="9" fontId="5" numFmtId="0" xfId="0" applyAlignment="1" applyFont="1">
      <alignment horizontal="center" readingOrder="0" vertical="bottom"/>
    </xf>
    <xf borderId="0" fillId="0" fontId="7" numFmtId="3" xfId="0" applyAlignment="1" applyFont="1" applyNumberForma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1" fontId="5" numFmtId="0" xfId="0" applyAlignment="1" applyFont="1">
      <alignment horizontal="center" readingOrder="0" vertical="bottom"/>
    </xf>
    <xf borderId="0" fillId="12" fontId="5" numFmtId="0" xfId="0" applyAlignment="1" applyFill="1" applyFont="1">
      <alignment horizontal="center" readingOrder="0"/>
    </xf>
    <xf borderId="0" fillId="11" fontId="5" numFmtId="0" xfId="0" applyAlignment="1" applyFont="1">
      <alignment horizontal="center"/>
    </xf>
    <xf borderId="0" fillId="6" fontId="5" numFmtId="1" xfId="0" applyAlignment="1" applyFont="1" applyNumberFormat="1">
      <alignment horizontal="center" vertical="bottom"/>
    </xf>
    <xf borderId="0" fillId="6" fontId="2" numFmtId="0" xfId="0" applyAlignment="1" applyFont="1">
      <alignment readingOrder="0" vertical="bottom"/>
    </xf>
    <xf borderId="0" fillId="6" fontId="2" numFmtId="1" xfId="0" applyAlignment="1" applyFont="1" applyNumberFormat="1">
      <alignment vertical="bottom"/>
    </xf>
    <xf borderId="0" fillId="3" fontId="2" numFmtId="0" xfId="0" applyAlignment="1" applyFont="1">
      <alignment readingOrder="0" vertical="bottom"/>
    </xf>
    <xf borderId="0" fillId="0" fontId="10" numFmtId="0" xfId="0" applyAlignment="1" applyFont="1">
      <alignment horizontal="center"/>
    </xf>
    <xf borderId="0" fillId="11" fontId="1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11" fontId="5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/>
    </xf>
    <xf borderId="0" fillId="6" fontId="16" numFmtId="165" xfId="0" applyAlignment="1" applyFont="1" applyNumberFormat="1">
      <alignment horizontal="center" vertical="bottom"/>
    </xf>
    <xf borderId="0" fillId="6" fontId="16" numFmtId="164" xfId="0" applyAlignment="1" applyFont="1" applyNumberFormat="1">
      <alignment horizontal="center" vertical="bottom"/>
    </xf>
    <xf borderId="0" fillId="8" fontId="17" numFmtId="0" xfId="0" applyAlignment="1" applyFont="1">
      <alignment horizontal="center" readingOrder="0" shrinkToFit="0" wrapText="0"/>
    </xf>
    <xf borderId="0" fillId="3" fontId="18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10" fontId="5" numFmtId="0" xfId="0" applyAlignment="1" applyFont="1">
      <alignment horizontal="center" readingOrder="0" vertical="bottom"/>
    </xf>
    <xf borderId="0" fillId="10" fontId="5" numFmtId="3" xfId="0" applyAlignment="1" applyFont="1" applyNumberFormat="1">
      <alignment horizontal="center"/>
    </xf>
    <xf borderId="0" fillId="10" fontId="5" numFmtId="0" xfId="0" applyAlignment="1" applyFont="1">
      <alignment horizontal="center"/>
    </xf>
    <xf borderId="0" fillId="10" fontId="2" numFmtId="0" xfId="0" applyAlignment="1" applyFont="1">
      <alignment vertical="bottom"/>
    </xf>
    <xf borderId="0" fillId="0" fontId="5" numFmtId="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10" fontId="16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center" readingOrder="0"/>
    </xf>
    <xf borderId="0" fillId="3" fontId="19" numFmtId="0" xfId="0" applyAlignment="1" applyFont="1">
      <alignment horizontal="left" readingOrder="0"/>
    </xf>
    <xf borderId="0" fillId="6" fontId="16" numFmtId="0" xfId="0" applyAlignment="1" applyFont="1">
      <alignment horizontal="center" readingOrder="0" vertical="bottom"/>
    </xf>
    <xf borderId="0" fillId="0" fontId="16" numFmtId="0" xfId="0" applyAlignment="1" applyFont="1">
      <alignment horizontal="center"/>
    </xf>
    <xf borderId="0" fillId="8" fontId="16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3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center"/>
    </xf>
    <xf borderId="0" fillId="10" fontId="14" numFmtId="0" xfId="0" applyFont="1"/>
    <xf borderId="0" fillId="10" fontId="5" numFmtId="3" xfId="0" applyAlignment="1" applyFont="1" applyNumberFormat="1">
      <alignment horizontal="center" readingOrder="0"/>
    </xf>
    <xf borderId="0" fillId="0" fontId="15" numFmtId="3" xfId="0" applyAlignment="1" applyFont="1" applyNumberFormat="1">
      <alignment horizontal="center"/>
    </xf>
    <xf borderId="0" fillId="8" fontId="5" numFmtId="1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3" fontId="5" numFmtId="0" xfId="0" applyAlignment="1" applyFont="1">
      <alignment horizontal="center" vertical="bottom"/>
    </xf>
    <xf borderId="0" fillId="13" fontId="5" numFmtId="165" xfId="0" applyAlignment="1" applyFill="1" applyFont="1" applyNumberFormat="1">
      <alignment horizontal="center" vertical="bottom"/>
    </xf>
    <xf borderId="0" fillId="13" fontId="5" numFmtId="164" xfId="0" applyAlignment="1" applyFont="1" applyNumberFormat="1">
      <alignment horizontal="center" vertical="bottom"/>
    </xf>
    <xf borderId="0" fillId="13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6" fontId="5" numFmtId="0" xfId="0" applyAlignment="1" applyFont="1">
      <alignment horizontal="center" vertical="bottom"/>
    </xf>
    <xf borderId="0" fillId="6" fontId="5" numFmtId="0" xfId="0" applyAlignment="1" applyFont="1">
      <alignment horizontal="center" readingOrder="0" vertical="bottom"/>
    </xf>
    <xf borderId="0" fillId="3" fontId="17" numFmtId="0" xfId="0" applyAlignment="1" applyFont="1">
      <alignment horizontal="center" readingOrder="0" shrinkToFit="0" wrapText="0"/>
    </xf>
    <xf borderId="0" fillId="0" fontId="3" numFmtId="1" xfId="0" applyAlignment="1" applyFont="1" applyNumberFormat="1">
      <alignment horizontal="center"/>
    </xf>
    <xf borderId="0" fillId="0" fontId="1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0" fillId="3" fontId="14" numFmtId="0" xfId="0" applyFont="1"/>
    <xf borderId="0" fillId="0" fontId="20" numFmtId="0" xfId="0" applyAlignment="1" applyFont="1">
      <alignment horizontal="center" readingOrder="0" shrinkToFit="0" vertical="bottom" wrapText="0"/>
    </xf>
    <xf borderId="0" fillId="3" fontId="21" numFmtId="0" xfId="0" applyAlignment="1" applyFill="1" applyFont="1">
      <alignment horizontal="center" readingOrder="0" shrinkToFit="0" vertical="bottom" wrapText="0"/>
    </xf>
    <xf borderId="0" fillId="14" fontId="5" numFmtId="0" xfId="0" applyAlignment="1" applyFill="1" applyFont="1">
      <alignment horizontal="center" readingOrder="0"/>
    </xf>
    <xf borderId="0" fillId="0" fontId="17" numFmtId="0" xfId="0" applyAlignment="1" applyFont="1">
      <alignment horizontal="center" readingOrder="0" shrinkToFit="0" vertical="bottom" wrapText="0"/>
    </xf>
    <xf borderId="0" fillId="15" fontId="5" numFmtId="0" xfId="0" applyAlignment="1" applyFill="1" applyFont="1">
      <alignment horizontal="center" readingOrder="0"/>
    </xf>
    <xf borderId="0" fillId="14" fontId="5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0" fontId="17" numFmtId="3" xfId="0" applyAlignment="1" applyFont="1" applyNumberFormat="1">
      <alignment horizontal="center" readingOrder="0" shrinkToFit="0" vertical="bottom" wrapText="0"/>
    </xf>
    <xf borderId="0" fillId="0" fontId="22" numFmtId="3" xfId="0" applyAlignment="1" applyFont="1" applyNumberFormat="1">
      <alignment horizontal="center" readingOrder="0" shrinkToFit="0" vertical="bottom" wrapText="0"/>
    </xf>
    <xf borderId="0" fillId="15" fontId="7" numFmtId="164" xfId="0" applyAlignment="1" applyFont="1" applyNumberFormat="1">
      <alignment horizontal="center" vertical="bottom"/>
    </xf>
    <xf borderId="0" fillId="13" fontId="2" numFmtId="0" xfId="0" applyAlignment="1" applyFont="1">
      <alignment vertical="bottom"/>
    </xf>
    <xf borderId="0" fillId="13" fontId="2" numFmtId="1" xfId="0" applyAlignment="1" applyFont="1" applyNumberFormat="1">
      <alignment vertical="bottom"/>
    </xf>
    <xf borderId="0" fillId="15" fontId="1" numFmtId="164" xfId="0" applyAlignment="1" applyFont="1" applyNumberFormat="1">
      <alignment horizontal="center" shrinkToFit="0" vertical="center" wrapText="0"/>
    </xf>
    <xf borderId="0" fillId="15" fontId="1" numFmtId="0" xfId="0" applyAlignment="1" applyFont="1">
      <alignment horizontal="center" shrinkToFit="0" vertical="center" wrapText="0"/>
    </xf>
    <xf borderId="0" fillId="15" fontId="1" numFmtId="3" xfId="0" applyAlignment="1" applyFont="1" applyNumberFormat="1">
      <alignment horizontal="center" shrinkToFit="0" vertical="center" wrapText="0"/>
    </xf>
    <xf borderId="0" fillId="15" fontId="1" numFmtId="2" xfId="0" applyAlignment="1" applyFont="1" applyNumberFormat="1">
      <alignment horizontal="center" shrinkToFit="0" vertical="center" wrapText="0"/>
    </xf>
    <xf borderId="0" fillId="15" fontId="1" numFmtId="1" xfId="0" applyAlignment="1" applyFont="1" applyNumberFormat="1">
      <alignment horizontal="center" shrinkToFit="0" vertical="center" wrapText="0"/>
    </xf>
    <xf borderId="0" fillId="15" fontId="23" numFmtId="0" xfId="0" applyAlignment="1" applyFont="1">
      <alignment shrinkToFit="0" vertical="center" wrapText="0"/>
    </xf>
    <xf borderId="0" fillId="13" fontId="5" numFmtId="1" xfId="0" applyAlignment="1" applyFont="1" applyNumberFormat="1">
      <alignment horizontal="center" vertical="bottom"/>
    </xf>
    <xf borderId="0" fillId="16" fontId="5" numFmtId="164" xfId="0" applyAlignment="1" applyFill="1" applyFont="1" applyNumberFormat="1">
      <alignment horizontal="center" vertical="bottom"/>
    </xf>
    <xf borderId="0" fillId="16" fontId="5" numFmtId="0" xfId="0" applyAlignment="1" applyFont="1">
      <alignment horizontal="center" vertical="bottom"/>
    </xf>
    <xf borderId="0" fillId="16" fontId="2" numFmtId="0" xfId="0" applyAlignment="1" applyFont="1">
      <alignment vertical="bottom"/>
    </xf>
    <xf borderId="0" fillId="16" fontId="5" numFmtId="165" xfId="0" applyAlignment="1" applyFont="1" applyNumberFormat="1">
      <alignment horizontal="center" vertical="bottom"/>
    </xf>
    <xf borderId="0" fillId="16" fontId="5" numFmtId="1" xfId="0" applyAlignment="1" applyFont="1" applyNumberFormat="1">
      <alignment horizontal="center" vertical="bottom"/>
    </xf>
    <xf borderId="0" fillId="16" fontId="2" numFmtId="1" xfId="0" applyAlignment="1" applyFont="1" applyNumberFormat="1">
      <alignment vertical="bottom"/>
    </xf>
    <xf borderId="0" fillId="16" fontId="2" numFmtId="0" xfId="0" applyAlignment="1" applyFont="1">
      <alignment readingOrder="0" vertical="bottom"/>
    </xf>
    <xf borderId="0" fillId="13" fontId="5" numFmtId="3" xfId="0" applyAlignment="1" applyFont="1" applyNumberFormat="1">
      <alignment horizontal="center" vertical="bottom"/>
    </xf>
    <xf borderId="0" fillId="16" fontId="2" numFmtId="164" xfId="0" applyAlignment="1" applyFont="1" applyNumberFormat="1">
      <alignment vertical="bottom"/>
    </xf>
    <xf borderId="0" fillId="13" fontId="2" numFmtId="164" xfId="0" applyAlignment="1" applyFont="1" applyNumberFormat="1">
      <alignment vertical="bottom"/>
    </xf>
    <xf borderId="0" fillId="16" fontId="10" numFmtId="1" xfId="0" applyAlignment="1" applyFont="1" applyNumberFormat="1">
      <alignment horizontal="center" vertical="bottom"/>
    </xf>
    <xf borderId="0" fillId="15" fontId="1" numFmtId="164" xfId="0" applyAlignment="1" applyFont="1" applyNumberFormat="1">
      <alignment horizontal="center" vertical="center"/>
    </xf>
    <xf borderId="0" fillId="15" fontId="1" numFmtId="0" xfId="0" applyAlignment="1" applyFont="1">
      <alignment horizontal="center" vertical="center"/>
    </xf>
    <xf borderId="0" fillId="15" fontId="1" numFmtId="3" xfId="0" applyAlignment="1" applyFont="1" applyNumberFormat="1">
      <alignment horizontal="center" vertical="center"/>
    </xf>
    <xf borderId="0" fillId="15" fontId="1" numFmtId="0" xfId="0" applyAlignment="1" applyFont="1">
      <alignment horizontal="center" shrinkToFit="0" vertical="center" wrapText="1"/>
    </xf>
    <xf borderId="0" fillId="15" fontId="1" numFmtId="2" xfId="0" applyAlignment="1" applyFont="1" applyNumberFormat="1">
      <alignment horizontal="center" vertical="center"/>
    </xf>
    <xf borderId="0" fillId="15" fontId="1" numFmtId="1" xfId="0" applyAlignment="1" applyFont="1" applyNumberFormat="1">
      <alignment horizontal="center" vertical="center"/>
    </xf>
    <xf borderId="0" fillId="15" fontId="23" numFmtId="0" xfId="0" applyAlignment="1" applyFont="1">
      <alignment vertical="center"/>
    </xf>
    <xf borderId="0" fillId="13" fontId="5" numFmtId="0" xfId="0" applyAlignment="1" applyFont="1">
      <alignment horizontal="center" readingOrder="0" vertical="bottom"/>
    </xf>
    <xf borderId="0" fillId="16" fontId="5" numFmtId="0" xfId="0" applyAlignment="1" applyFont="1">
      <alignment horizontal="center"/>
    </xf>
    <xf borderId="0" fillId="16" fontId="5" numFmtId="0" xfId="0" applyAlignment="1" applyFont="1">
      <alignment horizontal="center" readingOrder="0" vertical="bottom"/>
    </xf>
    <xf borderId="0" fillId="13" fontId="3" numFmtId="1" xfId="0" applyAlignment="1" applyFont="1" applyNumberFormat="1">
      <alignment horizontal="center" vertical="bottom"/>
    </xf>
    <xf borderId="0" fillId="15" fontId="7" numFmtId="164" xfId="0" applyAlignment="1" applyFont="1" applyNumberFormat="1">
      <alignment horizontal="center" readingOrder="0" vertical="bottom"/>
    </xf>
    <xf borderId="0" fillId="13" fontId="5" numFmtId="164" xfId="0" applyAlignment="1" applyFont="1" applyNumberFormat="1">
      <alignment horizontal="center" readingOrder="0" vertical="bottom"/>
    </xf>
    <xf borderId="0" fillId="13" fontId="5" numFmtId="164" xfId="0" applyAlignment="1" applyFont="1" applyNumberFormat="1">
      <alignment horizontal="center"/>
    </xf>
    <xf borderId="0" fillId="13" fontId="5" numFmtId="0" xfId="0" applyAlignment="1" applyFont="1">
      <alignment horizontal="center"/>
    </xf>
    <xf borderId="0" fillId="13" fontId="5" numFmtId="1" xfId="0" applyAlignment="1" applyFont="1" applyNumberFormat="1">
      <alignment horizontal="center"/>
    </xf>
    <xf borderId="0" fillId="13" fontId="5" numFmtId="0" xfId="0" applyAlignment="1" applyFont="1">
      <alignment horizontal="center"/>
    </xf>
    <xf borderId="0" fillId="16" fontId="5" numFmtId="164" xfId="0" applyAlignment="1" applyFont="1" applyNumberFormat="1">
      <alignment horizontal="center" readingOrder="0" vertical="bottom"/>
    </xf>
    <xf borderId="0" fillId="16" fontId="5" numFmtId="164" xfId="0" applyAlignment="1" applyFont="1" applyNumberFormat="1">
      <alignment horizontal="center"/>
    </xf>
    <xf borderId="0" fillId="16" fontId="5" numFmtId="1" xfId="0" applyAlignment="1" applyFont="1" applyNumberFormat="1">
      <alignment horizontal="center"/>
    </xf>
    <xf borderId="0" fillId="16" fontId="5" numFmtId="0" xfId="0" applyAlignment="1" applyFont="1">
      <alignment horizontal="center"/>
    </xf>
    <xf borderId="0" fillId="16" fontId="5" numFmtId="0" xfId="0" applyAlignment="1" applyFont="1">
      <alignment horizontal="center" readingOrder="0"/>
    </xf>
    <xf borderId="0" fillId="16" fontId="5" numFmtId="1" xfId="0" applyAlignment="1" applyFont="1" applyNumberFormat="1">
      <alignment horizontal="center" readingOrder="0" vertical="bottom"/>
    </xf>
    <xf borderId="0" fillId="16" fontId="5" numFmtId="3" xfId="0" applyAlignment="1" applyFont="1" applyNumberFormat="1">
      <alignment horizontal="center" vertical="bottom"/>
    </xf>
    <xf borderId="0" fillId="13" fontId="5" numFmtId="3" xfId="0" applyAlignment="1" applyFont="1" applyNumberFormat="1">
      <alignment horizontal="center"/>
    </xf>
    <xf borderId="0" fillId="13" fontId="5" numFmtId="0" xfId="0" applyAlignment="1" applyFont="1">
      <alignment horizontal="center" readingOrder="0"/>
    </xf>
    <xf borderId="0" fillId="13" fontId="7" numFmtId="1" xfId="0" applyAlignment="1" applyFont="1" applyNumberFormat="1">
      <alignment horizontal="center" vertical="bottom"/>
    </xf>
    <xf borderId="0" fillId="16" fontId="3" numFmtId="1" xfId="0" applyAlignment="1" applyFont="1" applyNumberFormat="1">
      <alignment horizontal="center" vertical="bottom"/>
    </xf>
    <xf borderId="0" fillId="16" fontId="5" numFmtId="3" xfId="0" applyAlignment="1" applyFont="1" applyNumberFormat="1">
      <alignment horizontal="center"/>
    </xf>
    <xf borderId="0" fillId="13" fontId="3" numFmtId="1" xfId="0" applyAlignment="1" applyFont="1" applyNumberFormat="1">
      <alignment horizontal="center"/>
    </xf>
    <xf borderId="0" fillId="16" fontId="5" numFmtId="1" xfId="0" applyAlignment="1" applyFont="1" applyNumberFormat="1">
      <alignment horizontal="center" readingOrder="0"/>
    </xf>
    <xf borderId="0" fillId="16" fontId="10" numFmtId="3" xfId="0" applyAlignment="1" applyFont="1" applyNumberFormat="1">
      <alignment horizontal="center"/>
    </xf>
    <xf borderId="0" fillId="13" fontId="5" numFmtId="1" xfId="0" applyAlignment="1" applyFont="1" applyNumberFormat="1">
      <alignment horizontal="center" readingOrder="0"/>
    </xf>
    <xf borderId="0" fillId="17" fontId="5" numFmtId="1" xfId="0" applyAlignment="1" applyFill="1" applyFont="1" applyNumberFormat="1">
      <alignment horizontal="center"/>
    </xf>
    <xf borderId="0" fillId="8" fontId="5" numFmtId="1" xfId="0" applyAlignment="1" applyFont="1" applyNumberFormat="1">
      <alignment horizontal="center" readingOrder="0"/>
    </xf>
    <xf borderId="0" fillId="16" fontId="5" numFmtId="1" xfId="0" applyAlignment="1" applyFont="1" applyNumberFormat="1">
      <alignment horizontal="center" readingOrder="0" shrinkToFit="0" wrapText="0"/>
    </xf>
    <xf borderId="0" fillId="13" fontId="5" numFmtId="1" xfId="0" applyAlignment="1" applyFont="1" applyNumberFormat="1">
      <alignment horizontal="center" readingOrder="0" shrinkToFit="0" wrapText="0"/>
    </xf>
    <xf borderId="0" fillId="16" fontId="3" numFmtId="1" xfId="0" applyAlignment="1" applyFont="1" applyNumberFormat="1">
      <alignment horizontal="center"/>
    </xf>
    <xf borderId="0" fillId="13" fontId="1" numFmtId="1" xfId="0" applyAlignment="1" applyFont="1" applyNumberFormat="1">
      <alignment horizontal="center"/>
    </xf>
    <xf borderId="0" fillId="13" fontId="5" numFmtId="3" xfId="0" applyAlignment="1" applyFont="1" applyNumberFormat="1">
      <alignment horizontal="center" readingOrder="0"/>
    </xf>
    <xf borderId="0" fillId="16" fontId="14" numFmtId="0" xfId="0" applyAlignment="1" applyFont="1">
      <alignment horizontal="center"/>
    </xf>
    <xf borderId="0" fillId="13" fontId="14" numFmtId="0" xfId="0" applyAlignment="1" applyFont="1">
      <alignment horizontal="center"/>
    </xf>
    <xf borderId="0" fillId="13" fontId="3" numFmtId="3" xfId="0" applyAlignment="1" applyFont="1" applyNumberFormat="1">
      <alignment horizontal="center"/>
    </xf>
    <xf borderId="0" fillId="16" fontId="5" numFmtId="3" xfId="0" applyAlignment="1" applyFont="1" applyNumberFormat="1">
      <alignment horizontal="center" readingOrder="0"/>
    </xf>
    <xf borderId="0" fillId="13" fontId="3" numFmtId="3" xfId="0" applyAlignment="1" applyFont="1" applyNumberFormat="1">
      <alignment horizontal="center" readingOrder="0"/>
    </xf>
    <xf borderId="0" fillId="15" fontId="7" numFmtId="0" xfId="0" applyAlignment="1" applyFont="1">
      <alignment horizontal="center" readingOrder="0" vertical="bottom"/>
    </xf>
    <xf borderId="0" fillId="8" fontId="5" numFmtId="0" xfId="0" applyAlignment="1" applyFont="1">
      <alignment horizontal="center" readingOrder="0" vertical="bottom"/>
    </xf>
    <xf borderId="0" fillId="13" fontId="5" numFmtId="1" xfId="0" applyAlignment="1" applyFont="1" applyNumberFormat="1">
      <alignment horizontal="center" readingOrder="0" vertical="bottom"/>
    </xf>
    <xf borderId="0" fillId="16" fontId="7" numFmtId="1" xfId="0" applyAlignment="1" applyFont="1" applyNumberFormat="1">
      <alignment horizontal="center" vertical="bottom"/>
    </xf>
    <xf borderId="0" fillId="16" fontId="16" numFmtId="0" xfId="0" applyAlignment="1" applyFont="1">
      <alignment horizontal="center" readingOrder="0"/>
    </xf>
    <xf borderId="0" fillId="16" fontId="16" numFmtId="0" xfId="0" applyAlignment="1" applyFont="1">
      <alignment horizontal="center" vertical="bottom"/>
    </xf>
    <xf borderId="0" fillId="8" fontId="16" numFmtId="0" xfId="0" applyAlignment="1" applyFont="1">
      <alignment horizontal="center" readingOrder="0" vertical="bottom"/>
    </xf>
    <xf borderId="0" fillId="11" fontId="16" numFmtId="0" xfId="0" applyAlignment="1" applyFont="1">
      <alignment horizontal="center" readingOrder="0" vertical="bottom"/>
    </xf>
    <xf borderId="0" fillId="5" fontId="16" numFmtId="0" xfId="0" applyAlignment="1" applyFont="1">
      <alignment horizontal="center" vertical="bottom"/>
    </xf>
    <xf borderId="0" fillId="16" fontId="16" numFmtId="165" xfId="0" applyAlignment="1" applyFont="1" applyNumberFormat="1">
      <alignment horizontal="center" vertical="bottom"/>
    </xf>
    <xf borderId="0" fillId="16" fontId="16" numFmtId="164" xfId="0" applyAlignment="1" applyFont="1" applyNumberFormat="1">
      <alignment horizontal="center" vertical="bottom"/>
    </xf>
    <xf borderId="0" fillId="16" fontId="16" numFmtId="1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13" fontId="16" numFmtId="165" xfId="0" applyAlignment="1" applyFont="1" applyNumberFormat="1">
      <alignment horizontal="center" vertical="bottom"/>
    </xf>
    <xf borderId="0" fillId="13" fontId="16" numFmtId="164" xfId="0" applyAlignment="1" applyFont="1" applyNumberFormat="1">
      <alignment horizontal="center" vertical="bottom"/>
    </xf>
    <xf borderId="0" fillId="13" fontId="5" numFmtId="0" xfId="0" applyAlignment="1" applyFont="1">
      <alignment horizontal="center" vertical="bottom"/>
    </xf>
    <xf borderId="0" fillId="13" fontId="3" numFmtId="1" xfId="0" applyAlignment="1" applyFont="1" applyNumberFormat="1">
      <alignment horizontal="center" readingOrder="0" vertical="bottom"/>
    </xf>
    <xf borderId="0" fillId="16" fontId="1" numFmtId="1" xfId="0" applyAlignment="1" applyFont="1" applyNumberFormat="1">
      <alignment horizontal="center" readingOrder="0" vertical="bottom"/>
    </xf>
    <xf borderId="0" fillId="13" fontId="7" numFmtId="0" xfId="0" applyAlignment="1" applyFont="1">
      <alignment horizontal="center" readingOrder="0" vertical="bottom"/>
    </xf>
    <xf borderId="0" fillId="16" fontId="14" numFmtId="0" xfId="0" applyAlignment="1" applyFont="1">
      <alignment horizontal="center" readingOrder="0"/>
    </xf>
    <xf borderId="0" fillId="13" fontId="24" numFmtId="0" xfId="0" applyAlignment="1" applyFont="1">
      <alignment horizontal="center" readingOrder="0"/>
    </xf>
    <xf borderId="0" fillId="3" fontId="25" numFmtId="0" xfId="0" applyAlignment="1" applyFont="1">
      <alignment horizontal="center" readingOrder="0"/>
    </xf>
    <xf borderId="0" fillId="16" fontId="3" numFmtId="0" xfId="0" applyAlignment="1" applyFont="1">
      <alignment horizontal="center" readingOrder="0" vertical="bottom"/>
    </xf>
    <xf borderId="0" fillId="10" fontId="26" numFmtId="0" xfId="0" applyAlignment="1" applyFont="1">
      <alignment horizontal="center" readingOrder="0"/>
    </xf>
    <xf borderId="0" fillId="13" fontId="3" numFmtId="0" xfId="0" applyAlignment="1" applyFont="1">
      <alignment horizontal="center"/>
    </xf>
    <xf borderId="0" fillId="16" fontId="5" numFmtId="0" xfId="0" applyAlignment="1" applyFont="1">
      <alignment horizontal="center" vertical="bottom"/>
    </xf>
    <xf borderId="0" fillId="16" fontId="7" numFmtId="0" xfId="0" applyAlignment="1" applyFont="1">
      <alignment horizontal="center"/>
    </xf>
    <xf borderId="0" fillId="13" fontId="2" numFmtId="0" xfId="0" applyAlignment="1" applyFont="1">
      <alignment readingOrder="0" vertical="bottom"/>
    </xf>
    <xf borderId="0" fillId="16" fontId="5" numFmtId="0" xfId="0" applyAlignment="1" applyFont="1">
      <alignment horizontal="center" readingOrder="0"/>
    </xf>
    <xf borderId="0" fillId="13" fontId="5" numFmtId="0" xfId="0" applyAlignment="1" applyFont="1">
      <alignment horizontal="center" readingOrder="0"/>
    </xf>
    <xf borderId="0" fillId="13" fontId="7" numFmtId="0" xfId="0" applyAlignment="1" applyFont="1">
      <alignment horizontal="center" readingOrder="0"/>
    </xf>
    <xf borderId="0" fillId="16" fontId="3" numFmtId="0" xfId="0" applyAlignment="1" applyFont="1">
      <alignment horizontal="center"/>
    </xf>
    <xf borderId="0" fillId="13" fontId="5" numFmtId="164" xfId="0" applyAlignment="1" applyFont="1" applyNumberFormat="1">
      <alignment horizontal="center" readingOrder="0"/>
    </xf>
    <xf borderId="0" fillId="16" fontId="5" numFmtId="164" xfId="0" applyAlignment="1" applyFont="1" applyNumberFormat="1">
      <alignment horizontal="center" readingOrder="0"/>
    </xf>
    <xf borderId="0" fillId="16" fontId="27" numFmtId="0" xfId="0" applyAlignment="1" applyFont="1">
      <alignment horizontal="center"/>
    </xf>
    <xf borderId="0" fillId="16" fontId="5" numFmtId="0" xfId="0" applyAlignment="1" applyFont="1">
      <alignment horizontal="center" readingOrder="0"/>
    </xf>
    <xf borderId="0" fillId="13" fontId="28" numFmtId="0" xfId="0" applyAlignment="1" applyFont="1">
      <alignment horizontal="center"/>
    </xf>
    <xf borderId="0" fillId="16" fontId="3" numFmtId="3" xfId="0" applyAlignment="1" applyFont="1" applyNumberFormat="1">
      <alignment horizontal="center"/>
    </xf>
    <xf borderId="0" fillId="3" fontId="20" numFmtId="0" xfId="0" applyAlignment="1" applyFont="1">
      <alignment horizontal="center" shrinkToFit="0" vertical="bottom" wrapText="0"/>
    </xf>
    <xf borderId="0" fillId="16" fontId="3" numFmtId="0" xfId="0" applyAlignment="1" applyFont="1">
      <alignment horizontal="center" readingOrder="0"/>
    </xf>
    <xf borderId="0" fillId="9" fontId="5" numFmtId="0" xfId="0" applyAlignment="1" applyFont="1">
      <alignment horizontal="center" readingOrder="0" vertical="bottom"/>
    </xf>
    <xf borderId="0" fillId="0" fontId="29" numFmtId="0" xfId="0" applyAlignment="1" applyFont="1">
      <alignment horizontal="center"/>
    </xf>
    <xf borderId="0" fillId="14" fontId="5" numFmtId="0" xfId="0" applyAlignment="1" applyFont="1">
      <alignment horizontal="center"/>
    </xf>
    <xf borderId="0" fillId="3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13" fontId="5" numFmtId="0" xfId="0" applyAlignment="1" applyFont="1">
      <alignment horizontal="center" vertical="bottom"/>
    </xf>
    <xf borderId="0" fillId="2" fontId="30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3" fontId="11" numFmtId="0" xfId="0" applyAlignment="1" applyFont="1">
      <alignment horizontal="center" vertical="bottom"/>
    </xf>
    <xf borderId="0" fillId="9" fontId="2" numFmtId="0" xfId="0" applyAlignment="1" applyFont="1">
      <alignment vertical="bottom"/>
    </xf>
    <xf borderId="0" fillId="9" fontId="31" numFmtId="0" xfId="0" applyAlignment="1" applyFont="1">
      <alignment horizontal="center" vertical="bottom"/>
    </xf>
    <xf borderId="0" fillId="3" fontId="31" numFmtId="0" xfId="0" applyAlignment="1" applyFont="1">
      <alignment horizontal="center" vertical="bottom"/>
    </xf>
    <xf borderId="0" fillId="0" fontId="14" numFmtId="0" xfId="0" applyAlignment="1" applyFont="1">
      <alignment horizontal="center"/>
    </xf>
    <xf borderId="0" fillId="5" fontId="14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bottom"/>
    </xf>
    <xf borderId="0" fillId="5" fontId="14" numFmtId="0" xfId="0" applyAlignment="1" applyFont="1">
      <alignment readingOrder="0"/>
    </xf>
    <xf borderId="0" fillId="14" fontId="5" numFmtId="0" xfId="0" applyAlignment="1" applyFont="1">
      <alignment horizontal="center" readingOrder="0"/>
    </xf>
    <xf borderId="0" fillId="5" fontId="14" numFmtId="0" xfId="0" applyAlignment="1" applyFont="1">
      <alignment readingOrder="0"/>
    </xf>
    <xf borderId="0" fillId="18" fontId="1" numFmtId="164" xfId="0" applyAlignment="1" applyFill="1" applyFont="1" applyNumberFormat="1">
      <alignment horizontal="center" shrinkToFit="0" vertical="center" wrapText="0"/>
    </xf>
    <xf borderId="0" fillId="18" fontId="1" numFmtId="0" xfId="0" applyAlignment="1" applyFont="1">
      <alignment horizontal="center" shrinkToFit="0" vertical="center" wrapText="0"/>
    </xf>
    <xf borderId="0" fillId="18" fontId="1" numFmtId="3" xfId="0" applyAlignment="1" applyFont="1" applyNumberFormat="1">
      <alignment horizontal="center" readingOrder="0" shrinkToFit="0" vertical="center" wrapText="0"/>
    </xf>
    <xf borderId="0" fillId="18" fontId="32" numFmtId="0" xfId="0" applyAlignment="1" applyFont="1">
      <alignment vertical="center"/>
    </xf>
    <xf borderId="0" fillId="18" fontId="16" numFmtId="0" xfId="0" applyAlignment="1" applyFont="1">
      <alignment horizontal="center" readingOrder="0" shrinkToFit="0" vertical="center" wrapText="0"/>
    </xf>
    <xf borderId="0" fillId="18" fontId="1" numFmtId="0" xfId="0" applyAlignment="1" applyFont="1">
      <alignment horizontal="center" readingOrder="0" shrinkToFit="0" vertical="center" wrapText="0"/>
    </xf>
    <xf borderId="0" fillId="0" fontId="33" numFmtId="0" xfId="0" applyFont="1"/>
    <xf borderId="0" fillId="18" fontId="34" numFmtId="0" xfId="0" applyAlignment="1" applyFont="1">
      <alignment horizontal="center" vertical="bottom"/>
    </xf>
    <xf borderId="0" fillId="5" fontId="5" numFmtId="3" xfId="0" applyAlignment="1" applyFont="1" applyNumberFormat="1">
      <alignment horizontal="center" vertical="bottom"/>
    </xf>
    <xf borderId="0" fillId="5" fontId="2" numFmtId="0" xfId="0" applyAlignment="1" applyFont="1">
      <alignment vertical="bottom"/>
    </xf>
    <xf borderId="0" fillId="5" fontId="14" numFmtId="0" xfId="0" applyFont="1"/>
    <xf borderId="0" fillId="10" fontId="5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AFD"/>
          <bgColor rgb="FFF8FAFD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4">
    <tableStyle count="2" pivot="0" name="OIL-style">
      <tableStyleElement dxfId="1" type="firstRowStripe"/>
      <tableStyleElement dxfId="2" type="secondRowStripe"/>
    </tableStyle>
    <tableStyle count="2" pivot="0" name="OIL-style 2">
      <tableStyleElement dxfId="1" type="firstRowStripe"/>
      <tableStyleElement dxfId="2" type="secondRowStripe"/>
    </tableStyle>
    <tableStyle count="2" pivot="0" name="OIL-style 3">
      <tableStyleElement dxfId="2" type="firstRowStripe"/>
      <tableStyleElement dxfId="1" type="secondRowStripe"/>
    </tableStyle>
    <tableStyle count="2" pivot="0" name="WATER -style">
      <tableStyleElement dxfId="2" type="firstRowStripe"/>
      <tableStyleElement dxfId="1" type="secondRowStripe"/>
    </tableStyle>
    <tableStyle count="2" pivot="0" name="WATER -style 2">
      <tableStyleElement dxfId="1" type="firstRowStripe"/>
      <tableStyleElement dxfId="2" type="secondRowStripe"/>
    </tableStyle>
    <tableStyle count="2" pivot="0" name="WATER -style 3">
      <tableStyleElement dxfId="2" type="firstRowStripe"/>
      <tableStyleElement dxfId="1" type="secondRowStripe"/>
    </tableStyle>
    <tableStyle count="2" pivot="0" name="WATER -style 4">
      <tableStyleElement dxfId="2" type="firstRowStripe"/>
      <tableStyleElement dxfId="1" type="secondRowStripe"/>
    </tableStyle>
    <tableStyle count="2" pivot="0" name="WATER -style 5">
      <tableStyleElement dxfId="2" type="firstRowStripe"/>
      <tableStyleElement dxfId="1" type="secondRowStripe"/>
    </tableStyle>
    <tableStyle count="2" pivot="0" name="WATER -style 6">
      <tableStyleElement dxfId="1" type="firstRowStripe"/>
      <tableStyleElement dxfId="2" type="secondRowStripe"/>
    </tableStyle>
    <tableStyle count="2" pivot="0" name="WATER -style 7">
      <tableStyleElement dxfId="2" type="firstRowStripe"/>
      <tableStyleElement dxfId="1" type="secondRowStripe"/>
    </tableStyle>
    <tableStyle count="2" pivot="0" name="WATER -style 8">
      <tableStyleElement dxfId="2" type="firstRowStripe"/>
      <tableStyleElement dxfId="1" type="secondRowStripe"/>
    </tableStyle>
    <tableStyle count="2" pivot="0" name="Sheet6-style">
      <tableStyleElement dxfId="4" type="firstRowStripe"/>
      <tableStyleElement dxfId="5" type="secondRowStripe"/>
    </tableStyle>
    <tableStyle count="2" pivot="0" name="Sheet6-style 2">
      <tableStyleElement dxfId="4" type="firstRowStripe"/>
      <tableStyleElement dxfId="5" type="secondRowStripe"/>
    </tableStyle>
    <tableStyle count="2" pivot="0" name="Plan for Tpt.-style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583:K583" displayName="Table_1" name="Table_1" id="1">
  <tableColumns count="3">
    <tableColumn name="Column1" id="1"/>
    <tableColumn name="Column2" id="2"/>
    <tableColumn name="Column3" id="3"/>
  </tableColumns>
  <tableStyleInfo name="OIL-style" showColumnStripes="0" showFirstColumn="1" showLastColumn="1" showRowStripes="1"/>
</table>
</file>

<file path=xl/tables/table2.xml><?xml version="1.0" encoding="utf-8"?>
<table xmlns="http://schemas.openxmlformats.org/spreadsheetml/2006/main" headerRowCount="0" ref="H595:K59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OIL-style 2" showColumnStripes="0" showFirstColumn="1" showLastColumn="1" showRowStripes="1"/>
</table>
</file>

<file path=xl/tables/table3.xml><?xml version="1.0" encoding="utf-8"?>
<table xmlns="http://schemas.openxmlformats.org/spreadsheetml/2006/main" headerRowCount="0" ref="I613:K669" displayName="Table_3" name="Table_3" id="3">
  <tableColumns count="3">
    <tableColumn name="Column1" id="1"/>
    <tableColumn name="Column2" id="2"/>
    <tableColumn name="Column3" id="3"/>
  </tableColumns>
  <tableStyleInfo name="OIL-style 3" showColumnStripes="0" showFirstColumn="1" showLastColumn="1" showRowStripes="1"/>
</table>
</file>

<file path=xl/tables/table4.xml><?xml version="1.0" encoding="utf-8"?>
<table xmlns="http://schemas.openxmlformats.org/spreadsheetml/2006/main" headerRowCount="0" ref="I456:K456" displayName="Table_4" name="Table_4" id="4">
  <tableColumns count="3">
    <tableColumn name="Column1" id="1"/>
    <tableColumn name="Column2" id="2"/>
    <tableColumn name="Column3" id="3"/>
  </tableColumns>
  <tableStyleInfo name="WATER -style" showColumnStripes="0" showFirstColumn="1" showLastColumn="1" showRowStripes="1"/>
</table>
</file>

<file path=xl/tables/table5.xml><?xml version="1.0" encoding="utf-8"?>
<table xmlns="http://schemas.openxmlformats.org/spreadsheetml/2006/main" headerRowCount="0" ref="I457:K457" displayName="Table_5" name="Table_5" id="5">
  <tableColumns count="3">
    <tableColumn name="Column1" id="1"/>
    <tableColumn name="Column2" id="2"/>
    <tableColumn name="Column3" id="3"/>
  </tableColumns>
  <tableStyleInfo name="WATER -style 2" showColumnStripes="0" showFirstColumn="1" showLastColumn="1" showRowStripes="1"/>
</table>
</file>

<file path=xl/tables/table6.xml><?xml version="1.0" encoding="utf-8"?>
<table xmlns="http://schemas.openxmlformats.org/spreadsheetml/2006/main" headerRowCount="0" ref="I458:K458" displayName="Table_6" name="Table_6" id="6">
  <tableColumns count="3">
    <tableColumn name="Column1" id="1"/>
    <tableColumn name="Column2" id="2"/>
    <tableColumn name="Column3" id="3"/>
  </tableColumns>
  <tableStyleInfo name="WATER -style 3" showColumnStripes="0" showFirstColumn="1" showLastColumn="1" showRowStripes="1"/>
</table>
</file>

<file path=xl/tables/table7.xml><?xml version="1.0" encoding="utf-8"?>
<table xmlns="http://schemas.openxmlformats.org/spreadsheetml/2006/main" headerRowCount="0" ref="I459:K459" displayName="Table_7" name="Table_7" id="7">
  <tableColumns count="3">
    <tableColumn name="Column1" id="1"/>
    <tableColumn name="Column2" id="2"/>
    <tableColumn name="Column3" id="3"/>
  </tableColumns>
  <tableStyleInfo name="WATER -style 4" showColumnStripes="0" showFirstColumn="1" showLastColumn="1" showRowStripes="1"/>
</table>
</file>

<file path=xl/tables/table8.xml><?xml version="1.0" encoding="utf-8"?>
<table xmlns="http://schemas.openxmlformats.org/spreadsheetml/2006/main" headerRowCount="0" ref="I460:K460" displayName="Table_8" name="Table_8" id="8">
  <tableColumns count="3">
    <tableColumn name="Column1" id="1"/>
    <tableColumn name="Column2" id="2"/>
    <tableColumn name="Column3" id="3"/>
  </tableColumns>
  <tableStyleInfo name="WATER -style 5" showColumnStripes="0" showFirstColumn="1" showLastColumn="1" showRowStripes="1"/>
</table>
</file>

<file path=xl/tables/table9.xml><?xml version="1.0" encoding="utf-8"?>
<table xmlns="http://schemas.openxmlformats.org/spreadsheetml/2006/main" headerRowCount="0" ref="I461:K461" displayName="Table_9" name="Table_9" id="9">
  <tableColumns count="3">
    <tableColumn name="Column1" id="1"/>
    <tableColumn name="Column2" id="2"/>
    <tableColumn name="Column3" id="3"/>
  </tableColumns>
  <tableStyleInfo name="WATER -style 6" showColumnStripes="0" showFirstColumn="1" showLastColumn="1" showRowStripes="1"/>
</table>
</file>

<file path=xl/tables/table10.xml><?xml version="1.0" encoding="utf-8"?>
<table xmlns="http://schemas.openxmlformats.org/spreadsheetml/2006/main" headerRowCount="0" ref="I462:K462" displayName="Table_10" name="Table_10" id="10">
  <tableColumns count="3">
    <tableColumn name="Column1" id="1"/>
    <tableColumn name="Column2" id="2"/>
    <tableColumn name="Column3" id="3"/>
  </tableColumns>
  <tableStyleInfo name="WATER -style 7" showColumnStripes="0" showFirstColumn="1" showLastColumn="1" showRowStripes="1"/>
</table>
</file>

<file path=xl/tables/table11.xml><?xml version="1.0" encoding="utf-8"?>
<table xmlns="http://schemas.openxmlformats.org/spreadsheetml/2006/main" headerRowCount="0" ref="I473:K484" displayName="Table_11" name="Table_11" id="11">
  <tableColumns count="3">
    <tableColumn name="Column1" id="1"/>
    <tableColumn name="Column2" id="2"/>
    <tableColumn name="Column3" id="3"/>
  </tableColumns>
  <tableStyleInfo name="WATER -style 8" showColumnStripes="0" showFirstColumn="1" showLastColumn="1" showRowStripes="1"/>
</table>
</file>

<file path=xl/tables/table12.xml><?xml version="1.0" encoding="utf-8"?>
<table xmlns="http://schemas.openxmlformats.org/spreadsheetml/2006/main" headerRowCount="0" ref="A3:C7" displayName="Table_12" name="Table_12" id="12">
  <tableColumns count="3">
    <tableColumn name="Column1" id="1"/>
    <tableColumn name="Column2" id="2"/>
    <tableColumn name="Column3" id="3"/>
  </tableColumns>
  <tableStyleInfo name="Sheet6-style" showColumnStripes="0" showFirstColumn="1" showLastColumn="1" showRowStripes="1"/>
</table>
</file>

<file path=xl/tables/table13.xml><?xml version="1.0" encoding="utf-8"?>
<table xmlns="http://schemas.openxmlformats.org/spreadsheetml/2006/main" headerRowCount="0" ref="A11:C22" displayName="Table_13" name="Table_13" id="13">
  <tableColumns count="3">
    <tableColumn name="Column1" id="1"/>
    <tableColumn name="Column2" id="2"/>
    <tableColumn name="Column3" id="3"/>
  </tableColumns>
  <tableStyleInfo name="Sheet6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2:H5" displayName="Table_14" name="Table_14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lan for Tpt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DAPODA+ROAD+BHIWANDI-421302?entry=gmail&amp;source=g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.xml"/><Relationship Id="rId22" Type="http://schemas.openxmlformats.org/officeDocument/2006/relationships/table" Target="../tables/table11.xml"/><Relationship Id="rId21" Type="http://schemas.openxmlformats.org/officeDocument/2006/relationships/table" Target="../tables/table10.xml"/><Relationship Id="rId1" Type="http://schemas.openxmlformats.org/officeDocument/2006/relationships/hyperlink" Target="http://kh.no/" TargetMode="External"/><Relationship Id="rId2" Type="http://schemas.openxmlformats.org/officeDocument/2006/relationships/hyperlink" Target="http://kh.no/" TargetMode="External"/><Relationship Id="rId3" Type="http://schemas.openxmlformats.org/officeDocument/2006/relationships/hyperlink" Target="https://www.google.com/maps/search/PATEL+NAGAR%C2%A0+G-85+NEW+DELHI-110008?entry=gmail&amp;source=g" TargetMode="External"/><Relationship Id="rId4" Type="http://schemas.openxmlformats.org/officeDocument/2006/relationships/hyperlink" Target="https://www.google.com/maps/search/S-221%2F83+STREET+NUMBER+2+NEW+DELHI-110018?entry=gmail&amp;source=g" TargetMode="External"/><Relationship Id="rId15" Type="http://schemas.openxmlformats.org/officeDocument/2006/relationships/table" Target="../tables/table4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5" Type="http://schemas.openxmlformats.org/officeDocument/2006/relationships/hyperlink" Target="https://www.google.com/maps/search/NO+86%2F1+UTTAM+NAGAR?entry=gmail&amp;source=g" TargetMode="External"/><Relationship Id="rId19" Type="http://schemas.openxmlformats.org/officeDocument/2006/relationships/table" Target="../tables/table8.xml"/><Relationship Id="rId6" Type="http://schemas.openxmlformats.org/officeDocument/2006/relationships/drawing" Target="../drawings/drawing2.xml"/><Relationship Id="rId1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88"/>
    <col customWidth="1" min="2" max="2" width="14.75"/>
    <col customWidth="1" min="3" max="3" width="40.0"/>
    <col customWidth="1" min="4" max="4" width="127.75"/>
    <col customWidth="1" min="5" max="5" width="9.5"/>
    <col customWidth="1" min="6" max="6" width="34.25"/>
    <col customWidth="1" min="7" max="7" width="51.75"/>
    <col customWidth="1" min="8" max="8" width="13.0"/>
    <col customWidth="1" min="9" max="9" width="16.0"/>
    <col customWidth="1" min="10" max="10" width="25.38"/>
    <col customWidth="1" min="11" max="11" width="15.13"/>
    <col customWidth="1" min="12" max="12" width="11.5"/>
    <col customWidth="1" min="13" max="13" width="30.38"/>
    <col customWidth="1" min="14" max="14" width="11.0"/>
    <col customWidth="1" min="15" max="15" width="18.38"/>
    <col customWidth="1" min="16" max="16" width="15.38"/>
    <col customWidth="1" min="17" max="17" width="37.88"/>
    <col customWidth="1" min="18" max="18" width="25.75"/>
    <col customWidth="1" min="19" max="19" width="31.88"/>
    <col customWidth="1" min="20" max="20" width="23.38"/>
  </cols>
  <sheetData>
    <row r="1">
      <c r="A1" s="1">
        <v>46026.0</v>
      </c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4"/>
      <c r="P1" s="2"/>
      <c r="Q1" s="5"/>
      <c r="R1" s="2"/>
      <c r="S1" s="2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</row>
    <row r="2" ht="33.0" customHeight="1">
      <c r="A2" s="8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10</v>
      </c>
      <c r="L2" s="11" t="s">
        <v>11</v>
      </c>
      <c r="M2" s="9" t="s">
        <v>12</v>
      </c>
      <c r="N2" s="9" t="s">
        <v>13</v>
      </c>
      <c r="O2" s="12" t="s">
        <v>14</v>
      </c>
      <c r="P2" s="13" t="s">
        <v>15</v>
      </c>
      <c r="Q2" s="9" t="s">
        <v>16</v>
      </c>
      <c r="R2" s="14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>
      <c r="A3" s="16">
        <v>46026.0</v>
      </c>
      <c r="B3" s="17" t="s">
        <v>17</v>
      </c>
      <c r="C3" s="17" t="s">
        <v>18</v>
      </c>
      <c r="D3" s="18" t="s">
        <v>19</v>
      </c>
      <c r="E3" s="17" t="s">
        <v>20</v>
      </c>
      <c r="F3" s="19">
        <v>6.26030549E8</v>
      </c>
      <c r="G3" s="6"/>
      <c r="H3" s="17">
        <v>1756.0</v>
      </c>
      <c r="I3" s="20" t="s">
        <v>21</v>
      </c>
      <c r="J3" s="17" t="s">
        <v>22</v>
      </c>
      <c r="K3" s="17">
        <v>9.52133409E9</v>
      </c>
      <c r="L3" s="21">
        <v>10913.0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7"/>
    </row>
    <row r="4">
      <c r="A4" s="22">
        <v>46026.0</v>
      </c>
      <c r="B4" s="23" t="s">
        <v>23</v>
      </c>
      <c r="C4" s="23" t="s">
        <v>18</v>
      </c>
      <c r="D4" s="23" t="s">
        <v>19</v>
      </c>
      <c r="E4" s="23" t="s">
        <v>20</v>
      </c>
      <c r="F4" s="19">
        <v>6.26030605E8</v>
      </c>
      <c r="G4" s="24"/>
      <c r="H4" s="23">
        <v>1756.0</v>
      </c>
      <c r="I4" s="20" t="s">
        <v>21</v>
      </c>
      <c r="J4" s="23" t="s">
        <v>22</v>
      </c>
      <c r="K4" s="23">
        <v>9.52133409E9</v>
      </c>
      <c r="L4" s="25">
        <v>4080.0</v>
      </c>
      <c r="M4" s="24"/>
      <c r="N4" s="24"/>
      <c r="O4" s="26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7"/>
    </row>
    <row r="5">
      <c r="A5" s="16">
        <v>46026.0</v>
      </c>
      <c r="B5" s="17" t="s">
        <v>24</v>
      </c>
      <c r="C5" s="21" t="s">
        <v>25</v>
      </c>
      <c r="D5" s="17" t="s">
        <v>26</v>
      </c>
      <c r="E5" s="17" t="s">
        <v>27</v>
      </c>
      <c r="F5" s="17" t="s">
        <v>28</v>
      </c>
      <c r="G5" s="17">
        <v>7.0326063E8</v>
      </c>
      <c r="H5" s="17" t="s">
        <v>29</v>
      </c>
      <c r="I5" s="20" t="s">
        <v>30</v>
      </c>
      <c r="J5" s="17" t="s">
        <v>31</v>
      </c>
      <c r="K5" s="17">
        <v>9.872987038E9</v>
      </c>
      <c r="L5" s="17">
        <v>1817.0</v>
      </c>
      <c r="M5" s="6"/>
      <c r="N5" s="6"/>
      <c r="O5" s="28"/>
      <c r="P5" s="6"/>
      <c r="Q5" s="17" t="s">
        <v>32</v>
      </c>
      <c r="R5" s="17" t="s">
        <v>33</v>
      </c>
      <c r="S5" s="17" t="s">
        <v>34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7"/>
    </row>
    <row r="6">
      <c r="A6" s="22">
        <v>46026.0</v>
      </c>
      <c r="B6" s="23" t="s">
        <v>24</v>
      </c>
      <c r="C6" s="25" t="s">
        <v>25</v>
      </c>
      <c r="D6" s="23" t="s">
        <v>26</v>
      </c>
      <c r="E6" s="23" t="s">
        <v>27</v>
      </c>
      <c r="F6" s="23" t="s">
        <v>28</v>
      </c>
      <c r="G6" s="23">
        <v>7.03260632E8</v>
      </c>
      <c r="H6" s="23" t="s">
        <v>29</v>
      </c>
      <c r="I6" s="20" t="s">
        <v>30</v>
      </c>
      <c r="J6" s="23" t="s">
        <v>31</v>
      </c>
      <c r="K6" s="23">
        <v>9.872987038E9</v>
      </c>
      <c r="L6" s="23">
        <v>11650.0</v>
      </c>
      <c r="M6" s="24"/>
      <c r="N6" s="24"/>
      <c r="O6" s="26"/>
      <c r="P6" s="24"/>
      <c r="Q6" s="23" t="s">
        <v>32</v>
      </c>
      <c r="R6" s="23" t="s">
        <v>35</v>
      </c>
      <c r="S6" s="23" t="s">
        <v>34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7"/>
    </row>
    <row r="7">
      <c r="A7" s="16">
        <v>46026.0</v>
      </c>
      <c r="B7" s="17" t="s">
        <v>23</v>
      </c>
      <c r="C7" s="17" t="s">
        <v>36</v>
      </c>
      <c r="D7" s="17" t="s">
        <v>37</v>
      </c>
      <c r="E7" s="17" t="s">
        <v>38</v>
      </c>
      <c r="F7" s="19">
        <v>6.26030583E8</v>
      </c>
      <c r="G7" s="6"/>
      <c r="H7" s="17" t="s">
        <v>39</v>
      </c>
      <c r="I7" s="20" t="s">
        <v>40</v>
      </c>
      <c r="J7" s="17" t="s">
        <v>41</v>
      </c>
      <c r="K7" s="17">
        <v>9.812840633E9</v>
      </c>
      <c r="L7" s="21">
        <v>8148.0</v>
      </c>
      <c r="M7" s="6"/>
      <c r="N7" s="6"/>
      <c r="O7" s="2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7"/>
    </row>
    <row r="8">
      <c r="A8" s="22">
        <v>46026.0</v>
      </c>
      <c r="B8" s="23" t="s">
        <v>23</v>
      </c>
      <c r="C8" s="23" t="s">
        <v>42</v>
      </c>
      <c r="D8" s="23" t="s">
        <v>43</v>
      </c>
      <c r="E8" s="23" t="s">
        <v>44</v>
      </c>
      <c r="F8" s="19">
        <v>6.26030596E8</v>
      </c>
      <c r="G8" s="24"/>
      <c r="H8" s="23" t="s">
        <v>45</v>
      </c>
      <c r="I8" s="20" t="s">
        <v>46</v>
      </c>
      <c r="J8" s="23" t="s">
        <v>41</v>
      </c>
      <c r="K8" s="23">
        <v>9.971381929E9</v>
      </c>
      <c r="L8" s="25">
        <v>11010.0</v>
      </c>
      <c r="M8" s="24"/>
      <c r="N8" s="24"/>
      <c r="O8" s="26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7"/>
    </row>
    <row r="9">
      <c r="A9" s="16">
        <v>46026.0</v>
      </c>
      <c r="B9" s="17" t="s">
        <v>23</v>
      </c>
      <c r="C9" s="17" t="s">
        <v>47</v>
      </c>
      <c r="D9" s="17" t="s">
        <v>48</v>
      </c>
      <c r="E9" s="17" t="s">
        <v>49</v>
      </c>
      <c r="F9" s="19">
        <v>6.26030604E8</v>
      </c>
      <c r="G9" s="6"/>
      <c r="H9" s="17">
        <v>12054.0</v>
      </c>
      <c r="I9" s="20" t="s">
        <v>50</v>
      </c>
      <c r="J9" s="17" t="s">
        <v>51</v>
      </c>
      <c r="K9" s="17">
        <v>8.30754915E9</v>
      </c>
      <c r="L9" s="21">
        <v>11996.0</v>
      </c>
      <c r="M9" s="6"/>
      <c r="N9" s="6"/>
      <c r="O9" s="2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7"/>
    </row>
    <row r="10">
      <c r="A10" s="22">
        <v>46026.0</v>
      </c>
      <c r="B10" s="23" t="s">
        <v>23</v>
      </c>
      <c r="C10" s="23" t="s">
        <v>47</v>
      </c>
      <c r="D10" s="23" t="s">
        <v>48</v>
      </c>
      <c r="E10" s="23" t="s">
        <v>49</v>
      </c>
      <c r="F10" s="19">
        <v>6.26030606E8</v>
      </c>
      <c r="G10" s="24"/>
      <c r="H10" s="23">
        <v>12054.0</v>
      </c>
      <c r="I10" s="20" t="s">
        <v>50</v>
      </c>
      <c r="J10" s="23" t="s">
        <v>51</v>
      </c>
      <c r="K10" s="23">
        <v>8.30754915E9</v>
      </c>
      <c r="L10" s="25">
        <v>0.0</v>
      </c>
      <c r="M10" s="24"/>
      <c r="N10" s="24"/>
      <c r="O10" s="26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7"/>
    </row>
    <row r="11">
      <c r="A11" s="16">
        <v>46026.0</v>
      </c>
      <c r="B11" s="17" t="s">
        <v>23</v>
      </c>
      <c r="C11" s="17" t="s">
        <v>47</v>
      </c>
      <c r="D11" s="17" t="s">
        <v>48</v>
      </c>
      <c r="E11" s="17" t="s">
        <v>49</v>
      </c>
      <c r="F11" s="19">
        <v>6.26030613E8</v>
      </c>
      <c r="G11" s="6"/>
      <c r="H11" s="17">
        <v>12054.0</v>
      </c>
      <c r="I11" s="20" t="s">
        <v>50</v>
      </c>
      <c r="J11" s="17" t="s">
        <v>51</v>
      </c>
      <c r="K11" s="17">
        <v>8.30754915E9</v>
      </c>
      <c r="L11" s="21">
        <v>49.0</v>
      </c>
      <c r="M11" s="6"/>
      <c r="N11" s="6"/>
      <c r="O11" s="2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7"/>
    </row>
    <row r="12">
      <c r="A12" s="2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30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7"/>
    </row>
    <row r="13">
      <c r="A13" s="31"/>
      <c r="B13" s="6"/>
      <c r="C13" s="6"/>
      <c r="D13" s="6"/>
      <c r="E13" s="6"/>
      <c r="F13" s="6"/>
      <c r="G13" s="6"/>
      <c r="H13" s="6"/>
      <c r="I13" s="6"/>
      <c r="J13" s="6"/>
      <c r="K13" s="6"/>
      <c r="L13" s="32">
        <f>SUM(L3:L12)</f>
        <v>59663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7"/>
    </row>
    <row r="14">
      <c r="A14" s="33"/>
      <c r="B14" s="33"/>
      <c r="C14" s="6"/>
      <c r="D14" s="6"/>
      <c r="E14" s="6"/>
      <c r="F14" s="6"/>
      <c r="G14" s="6"/>
      <c r="H14" s="6"/>
      <c r="I14" s="6"/>
      <c r="J14" s="6"/>
      <c r="K14" s="6"/>
      <c r="L14" s="34"/>
      <c r="M14" s="6"/>
      <c r="N14" s="6"/>
      <c r="O14" s="28"/>
      <c r="P14" s="6"/>
      <c r="Q14" s="35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7"/>
    </row>
    <row r="15">
      <c r="A15" s="1">
        <v>46057.0</v>
      </c>
      <c r="C15" s="2"/>
      <c r="D15" s="2"/>
      <c r="E15" s="2"/>
      <c r="F15" s="2"/>
      <c r="G15" s="36"/>
      <c r="H15" s="2"/>
      <c r="I15" s="2"/>
      <c r="J15" s="2"/>
      <c r="K15" s="2"/>
      <c r="L15" s="3"/>
      <c r="M15" s="2"/>
      <c r="N15" s="2"/>
      <c r="O15" s="4"/>
      <c r="P15" s="2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ht="38.25" customHeight="1">
      <c r="A16" s="8" t="s">
        <v>0</v>
      </c>
      <c r="B16" s="8" t="s">
        <v>1</v>
      </c>
      <c r="C16" s="9" t="s">
        <v>2</v>
      </c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9" t="s">
        <v>8</v>
      </c>
      <c r="J16" s="9" t="s">
        <v>9</v>
      </c>
      <c r="K16" s="10" t="s">
        <v>10</v>
      </c>
      <c r="L16" s="11" t="s">
        <v>11</v>
      </c>
      <c r="M16" s="9" t="s">
        <v>12</v>
      </c>
      <c r="N16" s="9" t="s">
        <v>13</v>
      </c>
      <c r="O16" s="12" t="s">
        <v>14</v>
      </c>
      <c r="P16" s="13" t="s">
        <v>15</v>
      </c>
      <c r="Q16" s="9" t="s">
        <v>16</v>
      </c>
      <c r="R16" s="37"/>
      <c r="S16" s="37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</row>
    <row r="17">
      <c r="A17" s="22">
        <v>46057.0</v>
      </c>
      <c r="B17" s="23" t="s">
        <v>23</v>
      </c>
      <c r="C17" s="23" t="s">
        <v>52</v>
      </c>
      <c r="D17" s="23" t="s">
        <v>53</v>
      </c>
      <c r="E17" s="23" t="s">
        <v>54</v>
      </c>
      <c r="F17" s="19">
        <v>6.26030617E8</v>
      </c>
      <c r="G17" s="39"/>
      <c r="H17" s="23">
        <v>6616.0</v>
      </c>
      <c r="I17" s="20" t="s">
        <v>55</v>
      </c>
      <c r="J17" s="40" t="s">
        <v>56</v>
      </c>
      <c r="K17" s="22">
        <v>9.718858411E9</v>
      </c>
      <c r="L17" s="25">
        <v>8030.0</v>
      </c>
      <c r="M17" s="24"/>
      <c r="N17" s="24"/>
      <c r="O17" s="26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7"/>
    </row>
    <row r="18">
      <c r="A18" s="16">
        <v>46057.0</v>
      </c>
      <c r="B18" s="17" t="s">
        <v>23</v>
      </c>
      <c r="C18" s="17" t="s">
        <v>57</v>
      </c>
      <c r="D18" s="17" t="s">
        <v>58</v>
      </c>
      <c r="E18" s="17" t="s">
        <v>49</v>
      </c>
      <c r="F18" s="19">
        <v>6.26030608E8</v>
      </c>
      <c r="G18" s="41"/>
      <c r="H18" s="42">
        <v>12055.0</v>
      </c>
      <c r="I18" s="20" t="s">
        <v>59</v>
      </c>
      <c r="J18" s="17" t="s">
        <v>51</v>
      </c>
      <c r="K18" s="17">
        <v>7.880857939E9</v>
      </c>
      <c r="L18" s="21">
        <v>45.0</v>
      </c>
      <c r="M18" s="6"/>
      <c r="N18" s="6"/>
      <c r="O18" s="2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7"/>
    </row>
    <row r="19">
      <c r="A19" s="22">
        <v>46057.0</v>
      </c>
      <c r="B19" s="23" t="s">
        <v>23</v>
      </c>
      <c r="C19" s="23" t="s">
        <v>57</v>
      </c>
      <c r="D19" s="23" t="s">
        <v>58</v>
      </c>
      <c r="E19" s="23" t="s">
        <v>49</v>
      </c>
      <c r="F19" s="19">
        <v>6.26030607E8</v>
      </c>
      <c r="G19" s="39"/>
      <c r="H19" s="42">
        <v>12055.0</v>
      </c>
      <c r="I19" s="20" t="s">
        <v>59</v>
      </c>
      <c r="J19" s="17" t="s">
        <v>51</v>
      </c>
      <c r="K19" s="17">
        <v>7.880857939E9</v>
      </c>
      <c r="L19" s="25">
        <v>10835.0</v>
      </c>
      <c r="M19" s="24"/>
      <c r="N19" s="24"/>
      <c r="O19" s="26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7"/>
    </row>
    <row r="20">
      <c r="A20" s="16">
        <v>46057.0</v>
      </c>
      <c r="B20" s="17" t="s">
        <v>23</v>
      </c>
      <c r="C20" s="17" t="s">
        <v>57</v>
      </c>
      <c r="D20" s="17" t="s">
        <v>58</v>
      </c>
      <c r="E20" s="17" t="s">
        <v>49</v>
      </c>
      <c r="F20" s="19">
        <v>6.26030611E8</v>
      </c>
      <c r="G20" s="43"/>
      <c r="H20" s="42">
        <v>12055.0</v>
      </c>
      <c r="I20" s="20" t="s">
        <v>59</v>
      </c>
      <c r="J20" s="17" t="s">
        <v>51</v>
      </c>
      <c r="K20" s="17">
        <v>7.880857939E9</v>
      </c>
      <c r="L20" s="21">
        <v>182.0</v>
      </c>
      <c r="M20" s="6"/>
      <c r="N20" s="6"/>
      <c r="O20" s="2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7"/>
    </row>
    <row r="21">
      <c r="A21" s="16">
        <v>46057.0</v>
      </c>
      <c r="B21" s="44">
        <v>46057.0</v>
      </c>
      <c r="C21" s="17" t="s">
        <v>57</v>
      </c>
      <c r="D21" s="17" t="s">
        <v>58</v>
      </c>
      <c r="E21" s="17" t="s">
        <v>49</v>
      </c>
      <c r="F21" s="45">
        <v>6.26040107E8</v>
      </c>
      <c r="G21" s="41"/>
      <c r="H21" s="42">
        <v>12055.0</v>
      </c>
      <c r="I21" s="20" t="s">
        <v>59</v>
      </c>
      <c r="J21" s="17" t="s">
        <v>51</v>
      </c>
      <c r="K21" s="17">
        <v>7.880857939E9</v>
      </c>
      <c r="L21" s="46">
        <v>14.0</v>
      </c>
      <c r="M21" s="6"/>
      <c r="N21" s="6"/>
      <c r="O21" s="2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7"/>
    </row>
    <row r="22">
      <c r="A22" s="22">
        <v>46057.0</v>
      </c>
      <c r="B22" s="23" t="s">
        <v>24</v>
      </c>
      <c r="C22" s="25" t="s">
        <v>60</v>
      </c>
      <c r="D22" s="23" t="s">
        <v>61</v>
      </c>
      <c r="E22" s="23" t="s">
        <v>27</v>
      </c>
      <c r="F22" s="17" t="s">
        <v>62</v>
      </c>
      <c r="G22" s="41">
        <v>7.03260595E8</v>
      </c>
      <c r="H22" s="23" t="s">
        <v>29</v>
      </c>
      <c r="I22" s="20" t="s">
        <v>63</v>
      </c>
      <c r="J22" s="23" t="s">
        <v>64</v>
      </c>
      <c r="K22" s="23">
        <v>9.779272314E9</v>
      </c>
      <c r="L22" s="23">
        <v>2728.0</v>
      </c>
      <c r="M22" s="24"/>
      <c r="N22" s="24"/>
      <c r="O22" s="24"/>
      <c r="P22" s="24"/>
      <c r="Q22" s="23" t="s">
        <v>32</v>
      </c>
      <c r="R22" s="23" t="s">
        <v>65</v>
      </c>
      <c r="S22" s="25" t="s">
        <v>66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7"/>
    </row>
    <row r="23">
      <c r="A23" s="16">
        <v>46057.0</v>
      </c>
      <c r="B23" s="17" t="s">
        <v>23</v>
      </c>
      <c r="C23" s="17" t="s">
        <v>67</v>
      </c>
      <c r="D23" s="17" t="s">
        <v>68</v>
      </c>
      <c r="E23" s="17" t="s">
        <v>54</v>
      </c>
      <c r="F23" s="19">
        <v>6.26030592E8</v>
      </c>
      <c r="G23" s="41"/>
      <c r="H23" s="17">
        <v>6614.0</v>
      </c>
      <c r="I23" s="20" t="s">
        <v>69</v>
      </c>
      <c r="J23" s="17" t="s">
        <v>56</v>
      </c>
      <c r="K23" s="17">
        <v>9.899885211E9</v>
      </c>
      <c r="L23" s="21">
        <v>3385.0</v>
      </c>
      <c r="M23" s="6"/>
      <c r="N23" s="6"/>
      <c r="O23" s="28"/>
      <c r="P23" s="6"/>
      <c r="Q23" s="17" t="s">
        <v>70</v>
      </c>
      <c r="R23" s="6"/>
      <c r="S23" s="17" t="s">
        <v>71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7"/>
    </row>
    <row r="24">
      <c r="A24" s="22">
        <v>46057.0</v>
      </c>
      <c r="B24" s="23" t="s">
        <v>23</v>
      </c>
      <c r="C24" s="23" t="s">
        <v>67</v>
      </c>
      <c r="D24" s="23" t="s">
        <v>68</v>
      </c>
      <c r="E24" s="23" t="s">
        <v>54</v>
      </c>
      <c r="F24" s="19">
        <v>6.26030594E8</v>
      </c>
      <c r="G24" s="39"/>
      <c r="H24" s="23">
        <v>6614.0</v>
      </c>
      <c r="I24" s="20" t="s">
        <v>69</v>
      </c>
      <c r="J24" s="23" t="s">
        <v>56</v>
      </c>
      <c r="K24" s="23">
        <v>9.899885211E9</v>
      </c>
      <c r="L24" s="25">
        <v>2000.0</v>
      </c>
      <c r="M24" s="24"/>
      <c r="N24" s="24"/>
      <c r="O24" s="26"/>
      <c r="P24" s="24"/>
      <c r="Q24" s="23" t="s">
        <v>70</v>
      </c>
      <c r="R24" s="24"/>
      <c r="S24" s="23" t="s">
        <v>71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7"/>
    </row>
    <row r="25">
      <c r="A25" s="16">
        <v>46057.0</v>
      </c>
      <c r="B25" s="17" t="s">
        <v>72</v>
      </c>
      <c r="C25" s="17" t="s">
        <v>67</v>
      </c>
      <c r="D25" s="17" t="s">
        <v>68</v>
      </c>
      <c r="E25" s="17" t="s">
        <v>54</v>
      </c>
      <c r="F25" s="19">
        <v>6.26030479E8</v>
      </c>
      <c r="G25" s="41"/>
      <c r="H25" s="17">
        <v>6614.0</v>
      </c>
      <c r="I25" s="20" t="s">
        <v>69</v>
      </c>
      <c r="J25" s="17" t="s">
        <v>56</v>
      </c>
      <c r="K25" s="17">
        <v>9.899885211E9</v>
      </c>
      <c r="L25" s="21">
        <v>4000.0</v>
      </c>
      <c r="M25" s="6"/>
      <c r="N25" s="6"/>
      <c r="O25" s="28"/>
      <c r="P25" s="6"/>
      <c r="Q25" s="17" t="s">
        <v>70</v>
      </c>
      <c r="R25" s="6"/>
      <c r="S25" s="17" t="s">
        <v>71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7"/>
    </row>
    <row r="26">
      <c r="A26" s="22">
        <v>46057.0</v>
      </c>
      <c r="B26" s="23" t="s">
        <v>72</v>
      </c>
      <c r="C26" s="23" t="s">
        <v>67</v>
      </c>
      <c r="D26" s="23" t="s">
        <v>68</v>
      </c>
      <c r="E26" s="23" t="s">
        <v>54</v>
      </c>
      <c r="F26" s="19">
        <v>6.26030476E8</v>
      </c>
      <c r="G26" s="39"/>
      <c r="H26" s="23">
        <v>6614.0</v>
      </c>
      <c r="I26" s="20" t="s">
        <v>69</v>
      </c>
      <c r="J26" s="23" t="s">
        <v>56</v>
      </c>
      <c r="K26" s="23">
        <v>9.899885211E9</v>
      </c>
      <c r="L26" s="25">
        <v>3100.0</v>
      </c>
      <c r="M26" s="24"/>
      <c r="N26" s="24"/>
      <c r="O26" s="26"/>
      <c r="P26" s="24"/>
      <c r="Q26" s="23" t="s">
        <v>70</v>
      </c>
      <c r="R26" s="24"/>
      <c r="S26" s="23" t="s">
        <v>71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7"/>
    </row>
    <row r="27">
      <c r="A27" s="16">
        <v>46057.0</v>
      </c>
      <c r="B27" s="16">
        <v>46026.0</v>
      </c>
      <c r="C27" s="17" t="s">
        <v>67</v>
      </c>
      <c r="D27" s="17" t="s">
        <v>68</v>
      </c>
      <c r="E27" s="17" t="s">
        <v>54</v>
      </c>
      <c r="F27" s="19">
        <v>6.26040106E8</v>
      </c>
      <c r="G27" s="41"/>
      <c r="H27" s="17">
        <v>6614.0</v>
      </c>
      <c r="I27" s="20" t="s">
        <v>69</v>
      </c>
      <c r="J27" s="17" t="s">
        <v>56</v>
      </c>
      <c r="K27" s="17">
        <v>9.899885211E9</v>
      </c>
      <c r="L27" s="17">
        <v>0.0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7"/>
    </row>
    <row r="28">
      <c r="A28" s="16">
        <v>46057.0</v>
      </c>
      <c r="B28" s="44">
        <v>46026.0</v>
      </c>
      <c r="C28" s="17" t="s">
        <v>73</v>
      </c>
      <c r="D28" s="42" t="s">
        <v>74</v>
      </c>
      <c r="E28" s="17" t="s">
        <v>54</v>
      </c>
      <c r="F28" s="42">
        <v>6.26040104E8</v>
      </c>
      <c r="G28" s="41"/>
      <c r="H28" s="23">
        <v>6615.0</v>
      </c>
      <c r="I28" s="20" t="s">
        <v>69</v>
      </c>
      <c r="J28" s="17" t="s">
        <v>56</v>
      </c>
      <c r="K28" s="17">
        <v>9.899885211E9</v>
      </c>
      <c r="L28" s="42">
        <v>10.0</v>
      </c>
      <c r="M28" s="6"/>
      <c r="N28" s="6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7"/>
    </row>
    <row r="29">
      <c r="A29" s="16">
        <v>46057.0</v>
      </c>
      <c r="B29" s="42" t="s">
        <v>72</v>
      </c>
      <c r="C29" s="17" t="s">
        <v>73</v>
      </c>
      <c r="D29" s="42" t="s">
        <v>74</v>
      </c>
      <c r="E29" s="17" t="s">
        <v>54</v>
      </c>
      <c r="F29" s="42">
        <v>6.26030471E8</v>
      </c>
      <c r="G29" s="41"/>
      <c r="H29" s="23" t="s">
        <v>75</v>
      </c>
      <c r="I29" s="47" t="s">
        <v>76</v>
      </c>
      <c r="J29" s="42" t="s">
        <v>77</v>
      </c>
      <c r="K29" s="42">
        <v>9.810486602E9</v>
      </c>
      <c r="L29" s="42">
        <v>10.0</v>
      </c>
      <c r="M29" s="6"/>
      <c r="N29" s="6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7"/>
    </row>
    <row r="30">
      <c r="A30" s="22">
        <v>46057.0</v>
      </c>
      <c r="B30" s="23" t="s">
        <v>23</v>
      </c>
      <c r="C30" s="23" t="s">
        <v>78</v>
      </c>
      <c r="D30" s="23" t="s">
        <v>79</v>
      </c>
      <c r="E30" s="23" t="s">
        <v>49</v>
      </c>
      <c r="F30" s="19">
        <v>6.26030603E8</v>
      </c>
      <c r="G30" s="42"/>
      <c r="H30" s="48">
        <v>12057.0</v>
      </c>
      <c r="I30" s="20" t="s">
        <v>80</v>
      </c>
      <c r="J30" s="23" t="s">
        <v>51</v>
      </c>
      <c r="K30" s="23">
        <v>9.729209416E9</v>
      </c>
      <c r="L30" s="23">
        <v>15200.0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7"/>
    </row>
    <row r="31">
      <c r="A31" s="16">
        <v>46057.0</v>
      </c>
      <c r="B31" s="17" t="s">
        <v>23</v>
      </c>
      <c r="C31" s="17" t="s">
        <v>81</v>
      </c>
      <c r="D31" s="17" t="s">
        <v>82</v>
      </c>
      <c r="E31" s="17" t="s">
        <v>83</v>
      </c>
      <c r="F31" s="19">
        <v>6.26030595E8</v>
      </c>
      <c r="G31" s="43"/>
      <c r="H31" s="42">
        <v>1262.0</v>
      </c>
      <c r="I31" s="47" t="s">
        <v>84</v>
      </c>
      <c r="J31" s="42" t="s">
        <v>85</v>
      </c>
      <c r="K31" s="42">
        <v>7.535071603E9</v>
      </c>
      <c r="L31" s="21">
        <v>1692.0</v>
      </c>
      <c r="M31" s="6"/>
      <c r="N31" s="6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7"/>
    </row>
    <row r="32">
      <c r="A32" s="22">
        <v>46057.0</v>
      </c>
      <c r="B32" s="23" t="s">
        <v>23</v>
      </c>
      <c r="C32" s="23" t="s">
        <v>81</v>
      </c>
      <c r="D32" s="23" t="s">
        <v>82</v>
      </c>
      <c r="E32" s="23" t="s">
        <v>83</v>
      </c>
      <c r="F32" s="19">
        <v>6.26030597E8</v>
      </c>
      <c r="G32" s="39"/>
      <c r="H32" s="42">
        <v>1262.0</v>
      </c>
      <c r="I32" s="47" t="s">
        <v>84</v>
      </c>
      <c r="J32" s="42" t="s">
        <v>85</v>
      </c>
      <c r="K32" s="42">
        <v>7.535071603E9</v>
      </c>
      <c r="L32" s="25">
        <v>0.0</v>
      </c>
      <c r="M32" s="24"/>
      <c r="N32" s="24"/>
      <c r="O32" s="26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7"/>
    </row>
    <row r="33">
      <c r="A33" s="16">
        <v>46057.0</v>
      </c>
      <c r="B33" s="17" t="s">
        <v>86</v>
      </c>
      <c r="C33" s="21" t="s">
        <v>60</v>
      </c>
      <c r="D33" s="17" t="s">
        <v>87</v>
      </c>
      <c r="E33" s="17" t="s">
        <v>88</v>
      </c>
      <c r="F33" s="19" t="s">
        <v>89</v>
      </c>
      <c r="G33" s="17">
        <v>7.04260108E8</v>
      </c>
      <c r="H33" s="42">
        <v>1263.0</v>
      </c>
      <c r="I33" s="47" t="s">
        <v>84</v>
      </c>
      <c r="J33" s="42" t="s">
        <v>85</v>
      </c>
      <c r="K33" s="42">
        <v>7.535071603E9</v>
      </c>
      <c r="L33" s="17">
        <v>2400.0</v>
      </c>
      <c r="M33" s="6"/>
      <c r="N33" s="6"/>
      <c r="O33" s="28"/>
      <c r="P33" s="6"/>
      <c r="Q33" s="17" t="s">
        <v>32</v>
      </c>
      <c r="R33" s="17" t="s">
        <v>90</v>
      </c>
      <c r="S33" s="17" t="s">
        <v>91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7"/>
    </row>
    <row r="34">
      <c r="A34" s="16">
        <v>46057.0</v>
      </c>
      <c r="B34" s="17" t="s">
        <v>72</v>
      </c>
      <c r="C34" s="17" t="s">
        <v>92</v>
      </c>
      <c r="D34" s="17" t="s">
        <v>93</v>
      </c>
      <c r="E34" s="17" t="s">
        <v>27</v>
      </c>
      <c r="F34" s="19">
        <v>6.26030485E8</v>
      </c>
      <c r="G34" s="41"/>
      <c r="H34" s="42">
        <v>12058.0</v>
      </c>
      <c r="I34" s="47" t="s">
        <v>94</v>
      </c>
      <c r="J34" s="17" t="s">
        <v>51</v>
      </c>
      <c r="K34" s="17">
        <v>7.880857939E9</v>
      </c>
      <c r="L34" s="21">
        <v>1280.0</v>
      </c>
      <c r="M34" s="6"/>
      <c r="N34" s="6"/>
      <c r="O34" s="2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7"/>
    </row>
    <row r="35">
      <c r="A35" s="16">
        <v>46057.0</v>
      </c>
      <c r="B35" s="16">
        <v>46057.0</v>
      </c>
      <c r="C35" s="17" t="s">
        <v>92</v>
      </c>
      <c r="D35" s="17" t="s">
        <v>93</v>
      </c>
      <c r="E35" s="17" t="s">
        <v>27</v>
      </c>
      <c r="F35" s="45">
        <v>6.26040108E8</v>
      </c>
      <c r="G35" s="41"/>
      <c r="H35" s="49">
        <v>12058.0</v>
      </c>
      <c r="I35" s="50" t="s">
        <v>94</v>
      </c>
      <c r="J35" s="51" t="s">
        <v>51</v>
      </c>
      <c r="K35" s="51">
        <v>7.880857939E9</v>
      </c>
      <c r="L35" s="46">
        <v>560.0</v>
      </c>
      <c r="M35" s="6"/>
      <c r="N35" s="6"/>
      <c r="O35" s="2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7"/>
    </row>
    <row r="36">
      <c r="A36" s="16">
        <v>46057.0</v>
      </c>
      <c r="B36" s="17" t="s">
        <v>72</v>
      </c>
      <c r="C36" s="21" t="s">
        <v>60</v>
      </c>
      <c r="D36" s="17" t="s">
        <v>26</v>
      </c>
      <c r="E36" s="17" t="s">
        <v>27</v>
      </c>
      <c r="F36" s="17" t="s">
        <v>95</v>
      </c>
      <c r="G36" s="17">
        <v>7.04260116E8</v>
      </c>
      <c r="H36" s="49" t="s">
        <v>29</v>
      </c>
      <c r="I36" s="52" t="s">
        <v>96</v>
      </c>
      <c r="J36" s="51" t="s">
        <v>31</v>
      </c>
      <c r="K36" s="51">
        <v>9.972987038E9</v>
      </c>
      <c r="L36" s="17">
        <v>2093.0</v>
      </c>
      <c r="M36" s="6"/>
      <c r="N36" s="6"/>
      <c r="O36" s="28"/>
      <c r="P36" s="6"/>
      <c r="Q36" s="17" t="s">
        <v>32</v>
      </c>
      <c r="R36" s="17" t="s">
        <v>97</v>
      </c>
      <c r="S36" s="17" t="s">
        <v>98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7"/>
    </row>
    <row r="37">
      <c r="A37" s="22">
        <v>46057.0</v>
      </c>
      <c r="B37" s="23" t="s">
        <v>72</v>
      </c>
      <c r="C37" s="25" t="s">
        <v>60</v>
      </c>
      <c r="D37" s="23" t="s">
        <v>26</v>
      </c>
      <c r="E37" s="23" t="s">
        <v>27</v>
      </c>
      <c r="F37" s="42" t="s">
        <v>99</v>
      </c>
      <c r="G37" s="23">
        <v>7.04260115E8</v>
      </c>
      <c r="H37" s="49" t="s">
        <v>75</v>
      </c>
      <c r="I37" s="52" t="s">
        <v>96</v>
      </c>
      <c r="J37" s="51" t="s">
        <v>31</v>
      </c>
      <c r="K37" s="51">
        <v>9.896437186E9</v>
      </c>
      <c r="L37" s="23">
        <v>5313.0</v>
      </c>
      <c r="M37" s="24"/>
      <c r="N37" s="24"/>
      <c r="O37" s="26"/>
      <c r="P37" s="24"/>
      <c r="Q37" s="23" t="s">
        <v>32</v>
      </c>
      <c r="R37" s="23" t="s">
        <v>100</v>
      </c>
      <c r="S37" s="23" t="s">
        <v>98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7"/>
    </row>
    <row r="38">
      <c r="A38" s="22"/>
      <c r="B38" s="23"/>
      <c r="C38" s="23"/>
      <c r="D38" s="23"/>
      <c r="E38" s="23"/>
      <c r="F38" s="23"/>
      <c r="G38" s="24"/>
      <c r="H38" s="24"/>
      <c r="I38" s="24"/>
      <c r="J38" s="24"/>
      <c r="K38" s="24"/>
      <c r="L38" s="25"/>
      <c r="M38" s="24"/>
      <c r="N38" s="24"/>
      <c r="O38" s="26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7"/>
    </row>
    <row r="39">
      <c r="A39" s="22"/>
      <c r="B39" s="23"/>
      <c r="C39" s="23"/>
      <c r="D39" s="23"/>
      <c r="E39" s="23"/>
      <c r="F39" s="23"/>
      <c r="G39" s="24"/>
      <c r="H39" s="24"/>
      <c r="I39" s="24"/>
      <c r="J39" s="24"/>
      <c r="K39" s="24"/>
      <c r="L39" s="53">
        <f>SUM(L17:L38)</f>
        <v>62877</v>
      </c>
      <c r="M39" s="24"/>
      <c r="N39" s="24"/>
      <c r="O39" s="26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7"/>
    </row>
    <row r="40">
      <c r="A40" s="22"/>
      <c r="B40" s="23"/>
      <c r="C40" s="23"/>
      <c r="D40" s="23"/>
      <c r="E40" s="23"/>
      <c r="F40" s="23"/>
      <c r="G40" s="24"/>
      <c r="H40" s="24"/>
      <c r="I40" s="24"/>
      <c r="J40" s="24"/>
      <c r="K40" s="24"/>
      <c r="L40" s="25"/>
      <c r="M40" s="24"/>
      <c r="N40" s="24"/>
      <c r="O40" s="26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7"/>
    </row>
    <row r="41">
      <c r="A41" s="1">
        <v>46085.0</v>
      </c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4"/>
      <c r="P41" s="2"/>
      <c r="Q41" s="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ht="38.25" customHeight="1">
      <c r="A42" s="54" t="s">
        <v>0</v>
      </c>
      <c r="B42" s="54" t="s">
        <v>1</v>
      </c>
      <c r="C42" s="55" t="s">
        <v>2</v>
      </c>
      <c r="D42" s="55" t="s">
        <v>3</v>
      </c>
      <c r="E42" s="55" t="s">
        <v>4</v>
      </c>
      <c r="F42" s="55" t="s">
        <v>5</v>
      </c>
      <c r="G42" s="55" t="s">
        <v>6</v>
      </c>
      <c r="H42" s="55" t="s">
        <v>7</v>
      </c>
      <c r="I42" s="55" t="s">
        <v>8</v>
      </c>
      <c r="J42" s="55" t="s">
        <v>9</v>
      </c>
      <c r="K42" s="56" t="s">
        <v>10</v>
      </c>
      <c r="L42" s="57" t="s">
        <v>11</v>
      </c>
      <c r="M42" s="55" t="s">
        <v>12</v>
      </c>
      <c r="N42" s="55" t="s">
        <v>13</v>
      </c>
      <c r="O42" s="58" t="s">
        <v>14</v>
      </c>
      <c r="P42" s="59" t="s">
        <v>15</v>
      </c>
      <c r="Q42" s="55" t="s">
        <v>16</v>
      </c>
      <c r="R42" s="60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</row>
    <row r="43">
      <c r="A43" s="62">
        <v>46085.0</v>
      </c>
      <c r="B43" s="49" t="s">
        <v>23</v>
      </c>
      <c r="C43" s="49" t="s">
        <v>101</v>
      </c>
      <c r="D43" s="49" t="s">
        <v>102</v>
      </c>
      <c r="E43" s="63" t="s">
        <v>103</v>
      </c>
      <c r="F43" s="64">
        <v>6.2603063E8</v>
      </c>
      <c r="G43" s="63">
        <v>2.0</v>
      </c>
      <c r="H43" s="48">
        <v>260011.0</v>
      </c>
      <c r="I43" s="20" t="s">
        <v>104</v>
      </c>
      <c r="J43" s="63" t="s">
        <v>41</v>
      </c>
      <c r="K43" s="63">
        <v>9.368721088E9</v>
      </c>
      <c r="L43" s="65">
        <v>10500.0</v>
      </c>
      <c r="M43" s="51"/>
      <c r="N43" s="51"/>
      <c r="O43" s="66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</row>
    <row r="44">
      <c r="A44" s="62">
        <v>46085.0</v>
      </c>
      <c r="B44" s="23" t="s">
        <v>23</v>
      </c>
      <c r="C44" s="23" t="s">
        <v>105</v>
      </c>
      <c r="D44" s="23" t="s">
        <v>106</v>
      </c>
      <c r="E44" s="23" t="s">
        <v>103</v>
      </c>
      <c r="F44" s="19">
        <v>6.26030609E8</v>
      </c>
      <c r="G44" s="48">
        <v>1.0</v>
      </c>
      <c r="H44" s="67">
        <v>260012.0</v>
      </c>
      <c r="I44" s="20" t="s">
        <v>104</v>
      </c>
      <c r="J44" s="48" t="s">
        <v>41</v>
      </c>
      <c r="K44" s="48">
        <v>9.368721088E9</v>
      </c>
      <c r="L44" s="25">
        <v>5271.0</v>
      </c>
      <c r="M44" s="24"/>
      <c r="N44" s="24"/>
      <c r="O44" s="26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7"/>
    </row>
    <row r="45">
      <c r="A45" s="62">
        <v>46085.0</v>
      </c>
      <c r="B45" s="49" t="s">
        <v>17</v>
      </c>
      <c r="C45" s="65" t="s">
        <v>107</v>
      </c>
      <c r="D45" s="49" t="s">
        <v>108</v>
      </c>
      <c r="E45" s="63" t="s">
        <v>49</v>
      </c>
      <c r="F45" s="64">
        <v>6.26030568E8</v>
      </c>
      <c r="G45" s="49">
        <v>6.0326015E8</v>
      </c>
      <c r="H45" s="63">
        <v>12060.0</v>
      </c>
      <c r="I45" s="47" t="s">
        <v>109</v>
      </c>
      <c r="J45" s="17" t="s">
        <v>51</v>
      </c>
      <c r="K45" s="63">
        <v>9.917044854E9</v>
      </c>
      <c r="L45" s="68">
        <v>6000.0</v>
      </c>
      <c r="N45" s="51"/>
      <c r="O45" s="66"/>
      <c r="P45" s="51"/>
      <c r="Q45" s="49" t="s">
        <v>110</v>
      </c>
      <c r="R45" s="51"/>
      <c r="S45" s="49" t="s">
        <v>111</v>
      </c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</row>
    <row r="46">
      <c r="A46" s="62">
        <v>46085.0</v>
      </c>
      <c r="B46" s="49" t="s">
        <v>17</v>
      </c>
      <c r="C46" s="65" t="s">
        <v>107</v>
      </c>
      <c r="D46" s="49" t="s">
        <v>108</v>
      </c>
      <c r="E46" s="63" t="s">
        <v>49</v>
      </c>
      <c r="F46" s="64">
        <v>6.26030576E8</v>
      </c>
      <c r="G46" s="49">
        <v>6.0326015E8</v>
      </c>
      <c r="H46" s="63">
        <v>12060.0</v>
      </c>
      <c r="I46" s="47" t="s">
        <v>109</v>
      </c>
      <c r="J46" s="17" t="s">
        <v>51</v>
      </c>
      <c r="K46" s="63">
        <v>9.917044854E9</v>
      </c>
      <c r="L46" s="68">
        <v>2160.0</v>
      </c>
      <c r="N46" s="51"/>
      <c r="O46" s="66"/>
      <c r="P46" s="51"/>
      <c r="Q46" s="49" t="s">
        <v>110</v>
      </c>
      <c r="R46" s="51"/>
      <c r="S46" s="49" t="s">
        <v>111</v>
      </c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</row>
    <row r="47">
      <c r="A47" s="62">
        <v>46085.0</v>
      </c>
      <c r="B47" s="17" t="s">
        <v>86</v>
      </c>
      <c r="C47" s="17" t="s">
        <v>112</v>
      </c>
      <c r="D47" s="17" t="s">
        <v>113</v>
      </c>
      <c r="E47" s="17" t="s">
        <v>54</v>
      </c>
      <c r="F47" s="19">
        <v>6.26030522E8</v>
      </c>
      <c r="G47" s="6"/>
      <c r="H47" s="63">
        <v>6618.0</v>
      </c>
      <c r="I47" s="20" t="s">
        <v>114</v>
      </c>
      <c r="J47" s="17" t="s">
        <v>56</v>
      </c>
      <c r="K47" s="17">
        <v>9.956958533E9</v>
      </c>
      <c r="L47" s="17">
        <v>512.0</v>
      </c>
      <c r="M47" s="6"/>
      <c r="N47" s="6"/>
      <c r="O47" s="2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7"/>
    </row>
    <row r="48">
      <c r="A48" s="62">
        <v>46085.0</v>
      </c>
      <c r="B48" s="23" t="s">
        <v>23</v>
      </c>
      <c r="C48" s="23" t="s">
        <v>115</v>
      </c>
      <c r="D48" s="23" t="s">
        <v>116</v>
      </c>
      <c r="E48" s="23" t="s">
        <v>54</v>
      </c>
      <c r="F48" s="19">
        <v>6.26030621E8</v>
      </c>
      <c r="G48" s="24"/>
      <c r="H48" s="63">
        <v>6619.0</v>
      </c>
      <c r="I48" s="20" t="s">
        <v>114</v>
      </c>
      <c r="J48" s="17" t="s">
        <v>56</v>
      </c>
      <c r="K48" s="17">
        <v>9.956958533E9</v>
      </c>
      <c r="L48" s="25">
        <v>1300.0</v>
      </c>
      <c r="M48" s="24"/>
      <c r="N48" s="24"/>
      <c r="O48" s="26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7"/>
    </row>
    <row r="49">
      <c r="A49" s="62">
        <v>46085.0</v>
      </c>
      <c r="B49" s="49" t="s">
        <v>72</v>
      </c>
      <c r="C49" s="21" t="s">
        <v>60</v>
      </c>
      <c r="D49" s="49" t="s">
        <v>117</v>
      </c>
      <c r="E49" s="63" t="s">
        <v>27</v>
      </c>
      <c r="F49" s="64" t="s">
        <v>118</v>
      </c>
      <c r="G49" s="63">
        <v>7.04260138E8</v>
      </c>
      <c r="H49" s="69" t="s">
        <v>75</v>
      </c>
      <c r="I49" s="70" t="s">
        <v>119</v>
      </c>
      <c r="J49" s="69" t="s">
        <v>31</v>
      </c>
      <c r="K49" s="23">
        <v>9.896437186E9</v>
      </c>
      <c r="L49" s="68">
        <v>9550.0</v>
      </c>
      <c r="N49" s="51"/>
      <c r="O49" s="66"/>
      <c r="P49" s="51"/>
      <c r="Q49" s="49" t="s">
        <v>32</v>
      </c>
      <c r="R49" s="49" t="s">
        <v>120</v>
      </c>
      <c r="S49" s="49" t="s">
        <v>121</v>
      </c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</row>
    <row r="50">
      <c r="A50" s="62"/>
      <c r="B50" s="17"/>
      <c r="C50" s="17"/>
      <c r="D50" s="17"/>
      <c r="E50" s="17"/>
      <c r="F50" s="17"/>
      <c r="G50" s="6"/>
      <c r="H50" s="49"/>
      <c r="I50" s="6"/>
      <c r="J50" s="6"/>
      <c r="K50" s="6"/>
      <c r="L50" s="71"/>
      <c r="M50" s="6"/>
      <c r="N50" s="6"/>
      <c r="O50" s="2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7"/>
    </row>
    <row r="51">
      <c r="A51" s="62"/>
      <c r="B51" s="17"/>
      <c r="C51" s="17"/>
      <c r="D51" s="17"/>
      <c r="E51" s="17"/>
      <c r="F51" s="17"/>
      <c r="G51" s="6"/>
      <c r="H51" s="49"/>
      <c r="I51" s="6"/>
      <c r="J51" s="6"/>
      <c r="K51" s="6"/>
      <c r="L51" s="71">
        <f>SUM(L43:L50)</f>
        <v>35293</v>
      </c>
      <c r="M51" s="6"/>
      <c r="N51" s="6"/>
      <c r="O51" s="2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7"/>
    </row>
    <row r="52">
      <c r="A52" s="62"/>
      <c r="B52" s="17"/>
      <c r="C52" s="17"/>
      <c r="D52" s="17"/>
      <c r="E52" s="17"/>
      <c r="F52" s="17"/>
      <c r="G52" s="6"/>
      <c r="H52" s="6"/>
      <c r="I52" s="6"/>
      <c r="J52" s="6"/>
      <c r="K52" s="6"/>
      <c r="L52" s="21"/>
      <c r="M52" s="6"/>
      <c r="N52" s="6"/>
      <c r="O52" s="2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7"/>
    </row>
    <row r="53">
      <c r="A53" s="1">
        <v>46116.0</v>
      </c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4"/>
      <c r="P53" s="2"/>
      <c r="Q53" s="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ht="38.25" customHeight="1">
      <c r="A54" s="54" t="s">
        <v>0</v>
      </c>
      <c r="B54" s="54" t="s">
        <v>1</v>
      </c>
      <c r="C54" s="55" t="s">
        <v>2</v>
      </c>
      <c r="D54" s="55" t="s">
        <v>3</v>
      </c>
      <c r="E54" s="55" t="s">
        <v>4</v>
      </c>
      <c r="F54" s="55" t="s">
        <v>5</v>
      </c>
      <c r="G54" s="55" t="s">
        <v>6</v>
      </c>
      <c r="H54" s="55" t="s">
        <v>7</v>
      </c>
      <c r="I54" s="55" t="s">
        <v>8</v>
      </c>
      <c r="J54" s="55" t="s">
        <v>9</v>
      </c>
      <c r="K54" s="56" t="s">
        <v>10</v>
      </c>
      <c r="L54" s="57" t="s">
        <v>11</v>
      </c>
      <c r="M54" s="55" t="s">
        <v>12</v>
      </c>
      <c r="N54" s="55" t="s">
        <v>13</v>
      </c>
      <c r="O54" s="58" t="s">
        <v>14</v>
      </c>
      <c r="P54" s="59" t="s">
        <v>15</v>
      </c>
      <c r="Q54" s="55" t="s">
        <v>16</v>
      </c>
      <c r="R54" s="60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</row>
    <row r="55">
      <c r="A55" s="62">
        <v>46116.0</v>
      </c>
      <c r="B55" s="23" t="s">
        <v>23</v>
      </c>
      <c r="C55" s="23" t="s">
        <v>122</v>
      </c>
      <c r="D55" s="23" t="s">
        <v>123</v>
      </c>
      <c r="E55" s="23" t="s">
        <v>54</v>
      </c>
      <c r="F55" s="19">
        <v>6.26030656E8</v>
      </c>
      <c r="G55" s="23"/>
      <c r="H55" s="42">
        <v>6622.0</v>
      </c>
      <c r="I55" s="52" t="s">
        <v>124</v>
      </c>
      <c r="J55" s="17" t="s">
        <v>56</v>
      </c>
      <c r="K55" s="42">
        <v>7.290982776E9</v>
      </c>
      <c r="L55" s="25">
        <v>1937.0</v>
      </c>
      <c r="M55" s="24"/>
      <c r="N55" s="24"/>
      <c r="O55" s="26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7"/>
    </row>
    <row r="56">
      <c r="A56" s="62">
        <v>46116.0</v>
      </c>
      <c r="B56" s="49" t="s">
        <v>23</v>
      </c>
      <c r="C56" s="49" t="s">
        <v>125</v>
      </c>
      <c r="D56" s="49" t="s">
        <v>126</v>
      </c>
      <c r="E56" s="63" t="s">
        <v>54</v>
      </c>
      <c r="F56" s="64">
        <v>6.26030646E8</v>
      </c>
      <c r="H56" s="42">
        <v>6623.0</v>
      </c>
      <c r="I56" s="20" t="s">
        <v>127</v>
      </c>
      <c r="J56" s="72" t="s">
        <v>56</v>
      </c>
      <c r="K56" s="72">
        <v>8.826871385E9</v>
      </c>
      <c r="L56" s="65">
        <v>5000.0</v>
      </c>
      <c r="M56" s="6"/>
      <c r="N56" s="6"/>
      <c r="O56" s="2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7"/>
    </row>
    <row r="57">
      <c r="A57" s="62">
        <v>46116.0</v>
      </c>
      <c r="B57" s="49" t="s">
        <v>23</v>
      </c>
      <c r="C57" s="49" t="s">
        <v>125</v>
      </c>
      <c r="D57" s="49" t="s">
        <v>126</v>
      </c>
      <c r="E57" s="63" t="s">
        <v>54</v>
      </c>
      <c r="F57" s="64">
        <v>6.26030636E8</v>
      </c>
      <c r="H57" s="42">
        <v>6624.0</v>
      </c>
      <c r="I57" s="20" t="s">
        <v>55</v>
      </c>
      <c r="J57" s="73" t="s">
        <v>56</v>
      </c>
      <c r="K57" s="63">
        <v>9.718858411E9</v>
      </c>
      <c r="L57" s="65">
        <v>10100.0</v>
      </c>
      <c r="M57" s="6"/>
      <c r="N57" s="6"/>
      <c r="O57" s="2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7"/>
    </row>
    <row r="58">
      <c r="A58" s="62">
        <v>46116.0</v>
      </c>
      <c r="B58" s="49" t="s">
        <v>23</v>
      </c>
      <c r="C58" s="49" t="s">
        <v>128</v>
      </c>
      <c r="D58" s="49" t="s">
        <v>129</v>
      </c>
      <c r="E58" s="63" t="s">
        <v>49</v>
      </c>
      <c r="F58" s="64">
        <v>6.26030622E8</v>
      </c>
      <c r="H58" s="42">
        <v>37833.0</v>
      </c>
      <c r="I58" s="74" t="s">
        <v>130</v>
      </c>
      <c r="J58" s="42" t="s">
        <v>131</v>
      </c>
      <c r="K58" s="42" t="s">
        <v>132</v>
      </c>
      <c r="L58" s="65">
        <v>9000.0</v>
      </c>
      <c r="M58" s="6"/>
      <c r="N58" s="6"/>
      <c r="O58" s="2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7"/>
    </row>
    <row r="59">
      <c r="A59" s="62">
        <v>46116.0</v>
      </c>
      <c r="B59" s="49" t="s">
        <v>23</v>
      </c>
      <c r="C59" s="49" t="s">
        <v>128</v>
      </c>
      <c r="D59" s="49" t="s">
        <v>129</v>
      </c>
      <c r="E59" s="63" t="s">
        <v>49</v>
      </c>
      <c r="F59" s="64">
        <v>6.26030629E8</v>
      </c>
      <c r="H59" s="42">
        <v>37833.0</v>
      </c>
      <c r="I59" s="74" t="s">
        <v>130</v>
      </c>
      <c r="J59" s="42" t="s">
        <v>131</v>
      </c>
      <c r="K59" s="42" t="s">
        <v>132</v>
      </c>
      <c r="L59" s="65">
        <v>5588.0</v>
      </c>
      <c r="M59" s="24"/>
      <c r="N59" s="24"/>
      <c r="O59" s="26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7"/>
    </row>
    <row r="60">
      <c r="A60" s="62">
        <v>46116.0</v>
      </c>
      <c r="B60" s="23" t="s">
        <v>17</v>
      </c>
      <c r="C60" s="23" t="s">
        <v>133</v>
      </c>
      <c r="D60" s="23" t="s">
        <v>134</v>
      </c>
      <c r="E60" s="23" t="s">
        <v>135</v>
      </c>
      <c r="F60" s="19">
        <v>6.26030557E8</v>
      </c>
      <c r="G60" s="23"/>
      <c r="H60" s="42">
        <v>2677.0</v>
      </c>
      <c r="I60" s="20" t="s">
        <v>136</v>
      </c>
      <c r="J60" s="67" t="s">
        <v>137</v>
      </c>
      <c r="K60" s="63">
        <v>8.708503227E9</v>
      </c>
      <c r="L60" s="25">
        <v>175.0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7"/>
    </row>
    <row r="61">
      <c r="A61" s="62">
        <v>46116.0</v>
      </c>
      <c r="B61" s="17" t="s">
        <v>17</v>
      </c>
      <c r="C61" s="17" t="s">
        <v>133</v>
      </c>
      <c r="D61" s="17" t="s">
        <v>134</v>
      </c>
      <c r="E61" s="17" t="s">
        <v>135</v>
      </c>
      <c r="F61" s="19">
        <v>6.26030558E8</v>
      </c>
      <c r="G61" s="17"/>
      <c r="H61" s="42">
        <v>2677.0</v>
      </c>
      <c r="I61" s="20" t="s">
        <v>136</v>
      </c>
      <c r="J61" s="67" t="s">
        <v>137</v>
      </c>
      <c r="K61" s="63">
        <v>8.708503227E9</v>
      </c>
      <c r="L61" s="21">
        <v>6925.0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7"/>
    </row>
    <row r="62">
      <c r="A62" s="62">
        <v>46116.0</v>
      </c>
      <c r="B62" s="23" t="s">
        <v>23</v>
      </c>
      <c r="C62" s="23" t="s">
        <v>133</v>
      </c>
      <c r="D62" s="23" t="s">
        <v>134</v>
      </c>
      <c r="E62" s="23" t="s">
        <v>135</v>
      </c>
      <c r="F62" s="19">
        <v>6.26030663E8</v>
      </c>
      <c r="G62" s="23"/>
      <c r="H62" s="42">
        <v>2677.0</v>
      </c>
      <c r="I62" s="20" t="s">
        <v>136</v>
      </c>
      <c r="J62" s="67" t="s">
        <v>137</v>
      </c>
      <c r="K62" s="63">
        <v>8.708503227E9</v>
      </c>
      <c r="L62" s="23">
        <v>6.0</v>
      </c>
      <c r="M62" s="24"/>
      <c r="N62" s="24"/>
      <c r="O62" s="26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7"/>
    </row>
    <row r="63">
      <c r="A63" s="75">
        <v>46116.0</v>
      </c>
      <c r="B63" s="75">
        <v>46085.0</v>
      </c>
      <c r="C63" s="67" t="s">
        <v>138</v>
      </c>
      <c r="D63" s="67" t="s">
        <v>139</v>
      </c>
      <c r="E63" s="76" t="s">
        <v>54</v>
      </c>
      <c r="F63" s="45">
        <v>6.26040137E8</v>
      </c>
      <c r="G63" s="76"/>
      <c r="H63" s="63">
        <v>1234.0</v>
      </c>
      <c r="I63" s="74" t="s">
        <v>140</v>
      </c>
      <c r="J63" s="63" t="s">
        <v>141</v>
      </c>
      <c r="K63" s="63">
        <v>7.235915804E9</v>
      </c>
      <c r="L63" s="77">
        <f>200*40</f>
        <v>8000</v>
      </c>
      <c r="M63" s="2"/>
      <c r="N63" s="2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78"/>
    </row>
    <row r="64">
      <c r="A64" s="62">
        <v>46116.0</v>
      </c>
      <c r="B64" s="49" t="s">
        <v>86</v>
      </c>
      <c r="C64" s="79" t="s">
        <v>142</v>
      </c>
      <c r="D64" s="49" t="s">
        <v>143</v>
      </c>
      <c r="E64" s="63" t="s">
        <v>54</v>
      </c>
      <c r="F64" s="64">
        <v>6.26030511E8</v>
      </c>
      <c r="G64" s="49">
        <v>6.03260143E8</v>
      </c>
      <c r="H64" s="42">
        <v>1233.0</v>
      </c>
      <c r="I64" s="20" t="s">
        <v>144</v>
      </c>
      <c r="J64" s="17" t="s">
        <v>141</v>
      </c>
      <c r="K64" s="63">
        <v>8.126714912E9</v>
      </c>
      <c r="L64" s="65">
        <v>3200.0</v>
      </c>
      <c r="N64" s="51"/>
      <c r="O64" s="66"/>
      <c r="P64" s="51"/>
      <c r="Q64" s="49" t="s">
        <v>110</v>
      </c>
      <c r="R64" s="51"/>
      <c r="S64" s="49" t="s">
        <v>145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7"/>
    </row>
    <row r="65">
      <c r="A65" s="62">
        <v>46116.0</v>
      </c>
      <c r="B65" s="49" t="s">
        <v>86</v>
      </c>
      <c r="C65" s="79" t="s">
        <v>142</v>
      </c>
      <c r="D65" s="49" t="s">
        <v>143</v>
      </c>
      <c r="E65" s="63" t="s">
        <v>54</v>
      </c>
      <c r="F65" s="64">
        <v>6.26030538E8</v>
      </c>
      <c r="G65" s="49">
        <v>6.03260148E8</v>
      </c>
      <c r="H65" s="42">
        <v>1233.0</v>
      </c>
      <c r="I65" s="47" t="s">
        <v>144</v>
      </c>
      <c r="J65" s="17" t="s">
        <v>141</v>
      </c>
      <c r="K65" s="63">
        <v>8.126714912E9</v>
      </c>
      <c r="L65" s="65">
        <v>11108.0</v>
      </c>
      <c r="N65" s="51"/>
      <c r="O65" s="66"/>
      <c r="P65" s="51"/>
      <c r="Q65" s="49" t="s">
        <v>110</v>
      </c>
      <c r="R65" s="51"/>
      <c r="S65" s="49" t="s">
        <v>145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7"/>
    </row>
    <row r="66">
      <c r="A66" s="62">
        <v>46116.0</v>
      </c>
      <c r="B66" s="49" t="s">
        <v>17</v>
      </c>
      <c r="C66" s="65" t="s">
        <v>18</v>
      </c>
      <c r="D66" s="49" t="s">
        <v>146</v>
      </c>
      <c r="E66" s="63" t="s">
        <v>20</v>
      </c>
      <c r="F66" s="64">
        <v>6.2603056E8</v>
      </c>
      <c r="G66" s="63">
        <v>6.03260152E8</v>
      </c>
      <c r="H66" s="42">
        <v>260014.0</v>
      </c>
      <c r="I66" s="74" t="s">
        <v>147</v>
      </c>
      <c r="J66" s="63" t="s">
        <v>41</v>
      </c>
      <c r="K66" s="63">
        <v>7.073777452E9</v>
      </c>
      <c r="L66" s="65">
        <v>7832.0</v>
      </c>
      <c r="N66" s="51"/>
      <c r="O66" s="66"/>
      <c r="P66" s="51"/>
      <c r="Q66" s="49" t="s">
        <v>110</v>
      </c>
      <c r="R66" s="51"/>
      <c r="S66" s="49" t="s">
        <v>145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7"/>
    </row>
    <row r="67">
      <c r="A67" s="62">
        <v>46116.0</v>
      </c>
      <c r="B67" s="49" t="s">
        <v>17</v>
      </c>
      <c r="C67" s="65" t="s">
        <v>18</v>
      </c>
      <c r="D67" s="49" t="s">
        <v>146</v>
      </c>
      <c r="E67" s="63" t="s">
        <v>20</v>
      </c>
      <c r="F67" s="64">
        <v>6.26030562E8</v>
      </c>
      <c r="G67" s="63">
        <v>6.03260152E8</v>
      </c>
      <c r="H67" s="42">
        <v>260014.0</v>
      </c>
      <c r="I67" s="74" t="s">
        <v>147</v>
      </c>
      <c r="J67" s="63" t="s">
        <v>41</v>
      </c>
      <c r="K67" s="63">
        <v>7.073777452E9</v>
      </c>
      <c r="L67" s="65">
        <v>5408.0</v>
      </c>
      <c r="N67" s="51"/>
      <c r="O67" s="66"/>
      <c r="P67" s="51"/>
      <c r="Q67" s="49" t="s">
        <v>110</v>
      </c>
      <c r="R67" s="51"/>
      <c r="S67" s="49" t="s">
        <v>145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7"/>
    </row>
    <row r="68">
      <c r="A68" s="62">
        <v>46116.0</v>
      </c>
      <c r="B68" s="62">
        <v>46116.0</v>
      </c>
      <c r="C68" s="65" t="s">
        <v>18</v>
      </c>
      <c r="D68" s="49" t="s">
        <v>146</v>
      </c>
      <c r="E68" s="63" t="s">
        <v>20</v>
      </c>
      <c r="F68" s="80">
        <v>6.26040131E8</v>
      </c>
      <c r="G68" s="63">
        <v>6.04260101E8</v>
      </c>
      <c r="H68" s="42">
        <v>260014.0</v>
      </c>
      <c r="I68" s="74" t="s">
        <v>147</v>
      </c>
      <c r="J68" s="63" t="s">
        <v>41</v>
      </c>
      <c r="K68" s="63">
        <v>7.073777452E9</v>
      </c>
      <c r="L68" s="79">
        <v>0.0</v>
      </c>
      <c r="N68" s="51"/>
      <c r="O68" s="66"/>
      <c r="P68" s="51"/>
      <c r="Q68" s="49" t="s">
        <v>110</v>
      </c>
      <c r="R68" s="51"/>
      <c r="S68" s="49" t="s">
        <v>145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7"/>
    </row>
    <row r="69">
      <c r="A69" s="62">
        <v>46116.0</v>
      </c>
      <c r="B69" s="49" t="s">
        <v>17</v>
      </c>
      <c r="C69" s="21" t="s">
        <v>60</v>
      </c>
      <c r="D69" s="49" t="s">
        <v>117</v>
      </c>
      <c r="E69" s="63" t="s">
        <v>27</v>
      </c>
      <c r="F69" s="64">
        <v>6.26030574E8</v>
      </c>
      <c r="G69" s="49">
        <v>7.04260148E8</v>
      </c>
      <c r="H69" s="42">
        <v>6625.0</v>
      </c>
      <c r="I69" s="20" t="s">
        <v>148</v>
      </c>
      <c r="J69" s="76" t="s">
        <v>56</v>
      </c>
      <c r="K69" s="17">
        <v>8.799720529E9</v>
      </c>
      <c r="L69" s="65">
        <v>340.0</v>
      </c>
      <c r="N69" s="51"/>
      <c r="O69" s="66"/>
      <c r="P69" s="51"/>
      <c r="Q69" s="49" t="s">
        <v>32</v>
      </c>
      <c r="R69" s="49" t="s">
        <v>149</v>
      </c>
      <c r="S69" s="49" t="s">
        <v>150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7"/>
    </row>
    <row r="70">
      <c r="A70" s="62">
        <v>46116.0</v>
      </c>
      <c r="B70" s="49" t="s">
        <v>17</v>
      </c>
      <c r="C70" s="21" t="s">
        <v>60</v>
      </c>
      <c r="D70" s="49" t="s">
        <v>117</v>
      </c>
      <c r="E70" s="63" t="s">
        <v>27</v>
      </c>
      <c r="F70" s="64">
        <v>6.26030574E8</v>
      </c>
      <c r="G70" s="49">
        <v>7.04260149E8</v>
      </c>
      <c r="H70" s="42">
        <v>6625.0</v>
      </c>
      <c r="I70" s="20" t="s">
        <v>148</v>
      </c>
      <c r="J70" s="76" t="s">
        <v>56</v>
      </c>
      <c r="K70" s="17">
        <v>8.799720529E9</v>
      </c>
      <c r="L70" s="65">
        <v>3226.0</v>
      </c>
      <c r="N70" s="51"/>
      <c r="O70" s="66"/>
      <c r="P70" s="51"/>
      <c r="Q70" s="49" t="s">
        <v>32</v>
      </c>
      <c r="R70" s="49" t="s">
        <v>151</v>
      </c>
      <c r="S70" s="49" t="s">
        <v>150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7"/>
    </row>
    <row r="71">
      <c r="A71" s="62">
        <v>46116.0</v>
      </c>
      <c r="B71" s="49" t="s">
        <v>24</v>
      </c>
      <c r="C71" s="21" t="s">
        <v>60</v>
      </c>
      <c r="D71" s="49" t="s">
        <v>117</v>
      </c>
      <c r="E71" s="63" t="s">
        <v>27</v>
      </c>
      <c r="F71" s="64" t="s">
        <v>152</v>
      </c>
      <c r="G71" s="63">
        <v>7.04260136E8</v>
      </c>
      <c r="H71" s="42">
        <v>6625.0</v>
      </c>
      <c r="I71" s="20" t="s">
        <v>148</v>
      </c>
      <c r="J71" s="76" t="s">
        <v>56</v>
      </c>
      <c r="K71" s="17">
        <v>8.799720529E9</v>
      </c>
      <c r="L71" s="68">
        <v>4711.0</v>
      </c>
      <c r="N71" s="51"/>
      <c r="O71" s="66"/>
      <c r="P71" s="51"/>
      <c r="Q71" s="49" t="s">
        <v>32</v>
      </c>
      <c r="R71" s="49" t="s">
        <v>153</v>
      </c>
      <c r="S71" s="63" t="s">
        <v>150</v>
      </c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</row>
    <row r="72">
      <c r="A72" s="62">
        <v>46116.0</v>
      </c>
      <c r="B72" s="49" t="s">
        <v>24</v>
      </c>
      <c r="C72" s="21" t="s">
        <v>60</v>
      </c>
      <c r="D72" s="63" t="s">
        <v>154</v>
      </c>
      <c r="E72" s="63" t="s">
        <v>27</v>
      </c>
      <c r="F72" s="80">
        <v>6.26030425E8</v>
      </c>
      <c r="G72" s="63">
        <v>7.04260135E8</v>
      </c>
      <c r="H72" s="23" t="s">
        <v>29</v>
      </c>
      <c r="I72" s="20" t="s">
        <v>63</v>
      </c>
      <c r="J72" s="23" t="s">
        <v>64</v>
      </c>
      <c r="K72" s="23">
        <v>9.779272314E9</v>
      </c>
      <c r="L72" s="68">
        <v>704.0</v>
      </c>
      <c r="N72" s="51"/>
      <c r="O72" s="66"/>
      <c r="P72" s="51"/>
      <c r="Q72" s="49" t="s">
        <v>32</v>
      </c>
      <c r="R72" s="49" t="s">
        <v>155</v>
      </c>
      <c r="S72" s="49" t="s">
        <v>156</v>
      </c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</row>
    <row r="73">
      <c r="A73" s="62"/>
      <c r="B73" s="49"/>
      <c r="C73" s="49"/>
      <c r="D73" s="63"/>
      <c r="E73" s="63"/>
      <c r="F73" s="49"/>
      <c r="I73" s="51"/>
      <c r="J73" s="51"/>
      <c r="K73" s="51"/>
      <c r="L73" s="65"/>
      <c r="M73" s="51"/>
      <c r="N73" s="51"/>
      <c r="O73" s="66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</row>
    <row r="74">
      <c r="A74" s="62"/>
      <c r="B74" s="49"/>
      <c r="C74" s="65"/>
      <c r="D74" s="49"/>
      <c r="E74" s="63"/>
      <c r="F74" s="49"/>
      <c r="G74" s="49"/>
      <c r="H74" s="42"/>
      <c r="I74" s="51"/>
      <c r="J74" s="17"/>
      <c r="K74" s="17"/>
      <c r="L74" s="81">
        <f>SUM(L55:L73)</f>
        <v>83260</v>
      </c>
      <c r="N74" s="51"/>
      <c r="O74" s="66"/>
      <c r="P74" s="51"/>
      <c r="Q74" s="49"/>
      <c r="R74" s="51"/>
      <c r="S74" s="49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7"/>
    </row>
    <row r="75">
      <c r="A75" s="62"/>
      <c r="B75" s="49"/>
      <c r="C75" s="65"/>
      <c r="D75" s="49"/>
      <c r="E75" s="63"/>
      <c r="F75" s="49"/>
      <c r="G75" s="49"/>
      <c r="H75" s="42"/>
      <c r="I75" s="51"/>
      <c r="J75" s="17"/>
      <c r="K75" s="17"/>
      <c r="L75" s="65"/>
      <c r="N75" s="51"/>
      <c r="O75" s="66"/>
      <c r="P75" s="51"/>
      <c r="Q75" s="49"/>
      <c r="R75" s="51"/>
      <c r="S75" s="49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7"/>
    </row>
    <row r="76">
      <c r="A76" s="1">
        <v>46177.0</v>
      </c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4"/>
      <c r="P76" s="2"/>
      <c r="Q76" s="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ht="38.25" customHeight="1">
      <c r="A77" s="54" t="s">
        <v>0</v>
      </c>
      <c r="B77" s="54" t="s">
        <v>1</v>
      </c>
      <c r="C77" s="55" t="s">
        <v>2</v>
      </c>
      <c r="D77" s="55" t="s">
        <v>3</v>
      </c>
      <c r="E77" s="55" t="s">
        <v>4</v>
      </c>
      <c r="F77" s="55" t="s">
        <v>5</v>
      </c>
      <c r="G77" s="55" t="s">
        <v>6</v>
      </c>
      <c r="H77" s="55" t="s">
        <v>7</v>
      </c>
      <c r="I77" s="55" t="s">
        <v>8</v>
      </c>
      <c r="J77" s="55" t="s">
        <v>9</v>
      </c>
      <c r="K77" s="56" t="s">
        <v>10</v>
      </c>
      <c r="L77" s="57" t="s">
        <v>11</v>
      </c>
      <c r="M77" s="55" t="s">
        <v>12</v>
      </c>
      <c r="N77" s="55" t="s">
        <v>13</v>
      </c>
      <c r="O77" s="58" t="s">
        <v>14</v>
      </c>
      <c r="P77" s="59" t="s">
        <v>15</v>
      </c>
      <c r="Q77" s="55" t="s">
        <v>16</v>
      </c>
      <c r="R77" s="60"/>
      <c r="S77" s="60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</row>
    <row r="78">
      <c r="A78" s="82">
        <v>46177.0</v>
      </c>
      <c r="B78" s="49" t="s">
        <v>24</v>
      </c>
      <c r="C78" s="21" t="s">
        <v>60</v>
      </c>
      <c r="D78" s="49" t="s">
        <v>157</v>
      </c>
      <c r="E78" s="63" t="s">
        <v>27</v>
      </c>
      <c r="F78" s="64" t="s">
        <v>158</v>
      </c>
      <c r="G78" s="49">
        <v>7.04260156E8</v>
      </c>
      <c r="H78" s="63">
        <v>6626.0</v>
      </c>
      <c r="I78" s="20" t="s">
        <v>69</v>
      </c>
      <c r="J78" s="23" t="s">
        <v>56</v>
      </c>
      <c r="K78" s="23">
        <v>9.899885211E9</v>
      </c>
      <c r="L78" s="49">
        <v>8084.0</v>
      </c>
      <c r="Q78" s="49" t="s">
        <v>32</v>
      </c>
      <c r="R78" s="49" t="s">
        <v>159</v>
      </c>
      <c r="S78" s="49" t="s">
        <v>160</v>
      </c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</row>
    <row r="79">
      <c r="A79" s="82">
        <v>46177.0</v>
      </c>
      <c r="B79" s="49" t="s">
        <v>17</v>
      </c>
      <c r="C79" s="25" t="s">
        <v>60</v>
      </c>
      <c r="D79" s="49" t="s">
        <v>117</v>
      </c>
      <c r="E79" s="51"/>
      <c r="F79" s="49">
        <v>6.26030582E8</v>
      </c>
      <c r="G79" s="49">
        <v>7.04260161E8</v>
      </c>
      <c r="H79" s="49" t="s">
        <v>75</v>
      </c>
      <c r="I79" s="52" t="s">
        <v>96</v>
      </c>
      <c r="J79" s="51" t="s">
        <v>31</v>
      </c>
      <c r="K79" s="51">
        <v>9.896437186E9</v>
      </c>
      <c r="L79" s="49">
        <v>1290.0</v>
      </c>
      <c r="M79" s="51"/>
      <c r="P79" s="51"/>
      <c r="R79" s="49" t="s">
        <v>161</v>
      </c>
      <c r="S79" s="49" t="s">
        <v>162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7"/>
    </row>
    <row r="80">
      <c r="A80" s="82">
        <v>46177.0</v>
      </c>
      <c r="B80" s="49" t="s">
        <v>17</v>
      </c>
      <c r="C80" s="25" t="s">
        <v>60</v>
      </c>
      <c r="D80" s="49" t="s">
        <v>117</v>
      </c>
      <c r="E80" s="51"/>
      <c r="F80" s="49">
        <v>6.26030573E8</v>
      </c>
      <c r="G80" s="49">
        <v>7.04260161E8</v>
      </c>
      <c r="H80" s="49" t="s">
        <v>75</v>
      </c>
      <c r="I80" s="52" t="s">
        <v>96</v>
      </c>
      <c r="J80" s="51" t="s">
        <v>31</v>
      </c>
      <c r="K80" s="51">
        <v>9.896437186E9</v>
      </c>
      <c r="L80" s="49">
        <v>3585.0</v>
      </c>
      <c r="M80" s="51"/>
      <c r="P80" s="51"/>
      <c r="R80" s="49" t="s">
        <v>161</v>
      </c>
      <c r="S80" s="49" t="s">
        <v>162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7"/>
    </row>
    <row r="81">
      <c r="A81" s="82">
        <v>46177.0</v>
      </c>
      <c r="B81" s="49" t="s">
        <v>17</v>
      </c>
      <c r="C81" s="25" t="s">
        <v>60</v>
      </c>
      <c r="D81" s="49" t="s">
        <v>117</v>
      </c>
      <c r="E81" s="51"/>
      <c r="F81" s="49">
        <v>6.26030566E8</v>
      </c>
      <c r="G81" s="49">
        <v>7.04260161E8</v>
      </c>
      <c r="H81" s="49" t="s">
        <v>75</v>
      </c>
      <c r="I81" s="52" t="s">
        <v>96</v>
      </c>
      <c r="J81" s="51" t="s">
        <v>31</v>
      </c>
      <c r="K81" s="51">
        <v>9.896437186E9</v>
      </c>
      <c r="L81" s="49">
        <v>3690.0</v>
      </c>
      <c r="M81" s="51"/>
      <c r="P81" s="51"/>
      <c r="R81" s="49" t="s">
        <v>161</v>
      </c>
      <c r="S81" s="49" t="s">
        <v>162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7"/>
    </row>
    <row r="82">
      <c r="A82" s="82">
        <v>46177.0</v>
      </c>
      <c r="B82" s="49" t="s">
        <v>23</v>
      </c>
      <c r="C82" s="49" t="s">
        <v>163</v>
      </c>
      <c r="D82" s="49" t="s">
        <v>164</v>
      </c>
      <c r="E82" s="23" t="s">
        <v>54</v>
      </c>
      <c r="F82" s="64">
        <v>6.2603064E8</v>
      </c>
      <c r="H82" s="63">
        <v>1236.0</v>
      </c>
      <c r="I82" s="74" t="s">
        <v>165</v>
      </c>
      <c r="J82" s="17" t="s">
        <v>141</v>
      </c>
      <c r="K82" s="63">
        <v>7.217475788E9</v>
      </c>
      <c r="L82" s="49">
        <v>2500.0</v>
      </c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</row>
    <row r="83">
      <c r="A83" s="82">
        <v>46177.0</v>
      </c>
      <c r="B83" s="49" t="s">
        <v>23</v>
      </c>
      <c r="C83" s="49" t="s">
        <v>163</v>
      </c>
      <c r="D83" s="49" t="s">
        <v>164</v>
      </c>
      <c r="E83" s="23" t="s">
        <v>54</v>
      </c>
      <c r="F83" s="64">
        <v>6.26030641E8</v>
      </c>
      <c r="H83" s="63">
        <v>1236.0</v>
      </c>
      <c r="I83" s="74" t="s">
        <v>165</v>
      </c>
      <c r="J83" s="17" t="s">
        <v>141</v>
      </c>
      <c r="K83" s="63">
        <v>7.217475788E9</v>
      </c>
      <c r="L83" s="49">
        <v>8000.0</v>
      </c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</row>
    <row r="84">
      <c r="A84" s="82">
        <v>46177.0</v>
      </c>
      <c r="B84" s="49" t="s">
        <v>23</v>
      </c>
      <c r="C84" s="49" t="s">
        <v>163</v>
      </c>
      <c r="D84" s="49" t="s">
        <v>164</v>
      </c>
      <c r="E84" s="23" t="s">
        <v>54</v>
      </c>
      <c r="F84" s="64">
        <v>6.2603062E8</v>
      </c>
      <c r="H84" s="63">
        <v>1236.0</v>
      </c>
      <c r="I84" s="74" t="s">
        <v>165</v>
      </c>
      <c r="J84" s="17" t="s">
        <v>141</v>
      </c>
      <c r="K84" s="63">
        <v>7.217475788E9</v>
      </c>
      <c r="L84" s="49">
        <v>4760.0</v>
      </c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</row>
    <row r="85">
      <c r="A85" s="82">
        <v>46177.0</v>
      </c>
      <c r="B85" s="49" t="s">
        <v>23</v>
      </c>
      <c r="C85" s="49" t="s">
        <v>166</v>
      </c>
      <c r="D85" s="63" t="s">
        <v>167</v>
      </c>
      <c r="E85" s="23" t="s">
        <v>54</v>
      </c>
      <c r="F85" s="64">
        <v>6.26030616E8</v>
      </c>
      <c r="H85" s="63">
        <v>6627.0</v>
      </c>
      <c r="I85" s="20" t="s">
        <v>55</v>
      </c>
      <c r="J85" s="40" t="s">
        <v>56</v>
      </c>
      <c r="K85" s="22">
        <v>9.718858411E9</v>
      </c>
      <c r="L85" s="65">
        <v>8050.0</v>
      </c>
      <c r="M85" s="51"/>
      <c r="N85" s="51"/>
      <c r="O85" s="66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</row>
    <row r="86">
      <c r="A86" s="82">
        <v>46177.0</v>
      </c>
      <c r="B86" s="49" t="s">
        <v>17</v>
      </c>
      <c r="C86" s="65" t="s">
        <v>168</v>
      </c>
      <c r="D86" s="49" t="s">
        <v>169</v>
      </c>
      <c r="E86" s="63" t="s">
        <v>27</v>
      </c>
      <c r="F86" s="64">
        <v>6.26030569E8</v>
      </c>
      <c r="G86" s="49">
        <v>6.03260145E8</v>
      </c>
      <c r="H86" s="63">
        <v>12063.0</v>
      </c>
      <c r="I86" s="74" t="s">
        <v>59</v>
      </c>
      <c r="J86" s="42" t="s">
        <v>51</v>
      </c>
      <c r="K86" s="63">
        <v>7.880857939E9</v>
      </c>
      <c r="L86" s="65">
        <v>6500.0</v>
      </c>
      <c r="N86" s="51"/>
      <c r="O86" s="66"/>
      <c r="P86" s="51"/>
      <c r="Q86" s="49" t="s">
        <v>110</v>
      </c>
      <c r="R86" s="51"/>
      <c r="S86" s="49" t="s">
        <v>145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7"/>
    </row>
    <row r="87">
      <c r="A87" s="82">
        <v>46177.0</v>
      </c>
      <c r="B87" s="49" t="s">
        <v>17</v>
      </c>
      <c r="C87" s="65" t="s">
        <v>168</v>
      </c>
      <c r="D87" s="49" t="s">
        <v>169</v>
      </c>
      <c r="E87" s="63" t="s">
        <v>27</v>
      </c>
      <c r="F87" s="64">
        <v>6.26030575E8</v>
      </c>
      <c r="G87" s="49">
        <v>6.03260145E8</v>
      </c>
      <c r="H87" s="63">
        <v>12063.0</v>
      </c>
      <c r="I87" s="74" t="s">
        <v>59</v>
      </c>
      <c r="J87" s="42" t="s">
        <v>51</v>
      </c>
      <c r="K87" s="63">
        <v>7.880857939E9</v>
      </c>
      <c r="L87" s="65">
        <v>7500.0</v>
      </c>
      <c r="N87" s="51"/>
      <c r="O87" s="66"/>
      <c r="P87" s="51"/>
      <c r="Q87" s="49" t="s">
        <v>110</v>
      </c>
      <c r="R87" s="51"/>
      <c r="S87" s="49" t="s">
        <v>145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7"/>
    </row>
    <row r="88">
      <c r="A88" s="82">
        <v>46177.0</v>
      </c>
      <c r="B88" s="49" t="s">
        <v>23</v>
      </c>
      <c r="C88" s="49" t="s">
        <v>170</v>
      </c>
      <c r="D88" s="49" t="s">
        <v>171</v>
      </c>
      <c r="E88" s="63" t="s">
        <v>172</v>
      </c>
      <c r="F88" s="64">
        <v>6.26040124E8</v>
      </c>
      <c r="G88" s="63">
        <v>-28.0</v>
      </c>
      <c r="H88" s="63">
        <v>1237.0</v>
      </c>
      <c r="I88" s="47" t="s">
        <v>173</v>
      </c>
      <c r="J88" s="17" t="s">
        <v>141</v>
      </c>
      <c r="K88" s="42">
        <v>8.053649385E9</v>
      </c>
      <c r="L88" s="65">
        <v>260.0</v>
      </c>
      <c r="M88" s="51"/>
      <c r="N88" s="6"/>
      <c r="O88" s="2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7"/>
    </row>
    <row r="89">
      <c r="A89" s="82">
        <v>46177.0</v>
      </c>
      <c r="B89" s="49" t="s">
        <v>23</v>
      </c>
      <c r="C89" s="49" t="s">
        <v>170</v>
      </c>
      <c r="D89" s="49" t="s">
        <v>171</v>
      </c>
      <c r="E89" s="63" t="s">
        <v>172</v>
      </c>
      <c r="F89" s="64">
        <v>6.26030651E8</v>
      </c>
      <c r="G89" s="51"/>
      <c r="H89" s="63">
        <v>1237.0</v>
      </c>
      <c r="I89" s="47" t="s">
        <v>173</v>
      </c>
      <c r="J89" s="17" t="s">
        <v>141</v>
      </c>
      <c r="K89" s="42">
        <v>8.053649385E9</v>
      </c>
      <c r="L89" s="65">
        <v>3245.0</v>
      </c>
      <c r="M89" s="51"/>
      <c r="N89" s="24"/>
      <c r="O89" s="26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7"/>
    </row>
    <row r="90">
      <c r="A90" s="82">
        <v>46177.0</v>
      </c>
      <c r="B90" s="49" t="s">
        <v>23</v>
      </c>
      <c r="C90" s="49" t="s">
        <v>170</v>
      </c>
      <c r="D90" s="49" t="s">
        <v>171</v>
      </c>
      <c r="E90" s="63" t="s">
        <v>172</v>
      </c>
      <c r="F90" s="64">
        <v>6.26030655E8</v>
      </c>
      <c r="G90" s="51"/>
      <c r="H90" s="63">
        <v>1237.0</v>
      </c>
      <c r="I90" s="47" t="s">
        <v>173</v>
      </c>
      <c r="J90" s="17" t="s">
        <v>141</v>
      </c>
      <c r="K90" s="42">
        <v>8.053649385E9</v>
      </c>
      <c r="L90" s="65">
        <v>60.0</v>
      </c>
      <c r="M90" s="51"/>
      <c r="N90" s="6"/>
      <c r="O90" s="2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7"/>
    </row>
    <row r="91">
      <c r="A91" s="82">
        <v>46177.0</v>
      </c>
      <c r="B91" s="49" t="s">
        <v>23</v>
      </c>
      <c r="C91" s="49" t="s">
        <v>170</v>
      </c>
      <c r="D91" s="49" t="s">
        <v>171</v>
      </c>
      <c r="E91" s="63" t="s">
        <v>172</v>
      </c>
      <c r="F91" s="64">
        <v>6.26030657E8</v>
      </c>
      <c r="G91" s="51"/>
      <c r="H91" s="63">
        <v>1237.0</v>
      </c>
      <c r="I91" s="47" t="s">
        <v>173</v>
      </c>
      <c r="J91" s="17" t="s">
        <v>141</v>
      </c>
      <c r="K91" s="42">
        <v>8.053649385E9</v>
      </c>
      <c r="L91" s="49">
        <v>40.0</v>
      </c>
      <c r="M91" s="51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7"/>
    </row>
    <row r="92">
      <c r="A92" s="82">
        <v>46177.0</v>
      </c>
      <c r="B92" s="49" t="s">
        <v>23</v>
      </c>
      <c r="C92" s="49" t="s">
        <v>174</v>
      </c>
      <c r="D92" s="49" t="s">
        <v>175</v>
      </c>
      <c r="E92" s="63" t="s">
        <v>88</v>
      </c>
      <c r="F92" s="64">
        <v>6.26030632E8</v>
      </c>
      <c r="H92" s="63">
        <v>260028.0</v>
      </c>
      <c r="I92" s="74" t="s">
        <v>176</v>
      </c>
      <c r="J92" s="42" t="s">
        <v>41</v>
      </c>
      <c r="K92" s="42">
        <v>9.813102672E9</v>
      </c>
      <c r="L92" s="49">
        <v>15000.0</v>
      </c>
      <c r="M92" s="51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7"/>
    </row>
    <row r="93">
      <c r="A93" s="82">
        <v>46177.0</v>
      </c>
      <c r="B93" s="49" t="s">
        <v>23</v>
      </c>
      <c r="C93" s="49" t="s">
        <v>18</v>
      </c>
      <c r="D93" s="49" t="s">
        <v>177</v>
      </c>
      <c r="E93" s="63" t="s">
        <v>20</v>
      </c>
      <c r="F93" s="64">
        <v>6.26030643E8</v>
      </c>
      <c r="G93" s="63"/>
      <c r="H93" s="63" t="s">
        <v>45</v>
      </c>
      <c r="I93" s="74" t="s">
        <v>178</v>
      </c>
      <c r="J93" s="42" t="s">
        <v>179</v>
      </c>
      <c r="K93" s="42">
        <v>6.37747973E9</v>
      </c>
      <c r="L93" s="49">
        <v>6964.0</v>
      </c>
      <c r="M93" s="5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7"/>
    </row>
    <row r="94">
      <c r="A94" s="82">
        <v>46177.0</v>
      </c>
      <c r="B94" s="83">
        <v>46116.0</v>
      </c>
      <c r="C94" s="49" t="s">
        <v>18</v>
      </c>
      <c r="D94" s="49" t="s">
        <v>177</v>
      </c>
      <c r="E94" s="63" t="s">
        <v>20</v>
      </c>
      <c r="F94" s="80">
        <v>6.26040136E8</v>
      </c>
      <c r="G94" s="63"/>
      <c r="H94" s="63" t="s">
        <v>45</v>
      </c>
      <c r="I94" s="74" t="s">
        <v>178</v>
      </c>
      <c r="J94" s="42" t="s">
        <v>179</v>
      </c>
      <c r="K94" s="42">
        <v>6.37747973E9</v>
      </c>
      <c r="L94" s="79">
        <v>256.0</v>
      </c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</row>
    <row r="95">
      <c r="A95" s="82">
        <v>46177.0</v>
      </c>
      <c r="B95" s="49" t="s">
        <v>23</v>
      </c>
      <c r="C95" s="49" t="s">
        <v>180</v>
      </c>
      <c r="D95" s="63" t="s">
        <v>181</v>
      </c>
      <c r="E95" s="63" t="s">
        <v>103</v>
      </c>
      <c r="F95" s="64">
        <v>6.26030637E8</v>
      </c>
      <c r="G95" s="63"/>
      <c r="H95" s="63" t="s">
        <v>182</v>
      </c>
      <c r="I95" s="74" t="s">
        <v>178</v>
      </c>
      <c r="J95" s="42" t="s">
        <v>179</v>
      </c>
      <c r="K95" s="42">
        <v>6.37747973E9</v>
      </c>
      <c r="L95" s="65">
        <v>8320.0</v>
      </c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</row>
    <row r="96">
      <c r="A96" s="82">
        <v>46177.0</v>
      </c>
      <c r="B96" s="49" t="s">
        <v>23</v>
      </c>
      <c r="C96" s="49" t="s">
        <v>180</v>
      </c>
      <c r="D96" s="63" t="s">
        <v>181</v>
      </c>
      <c r="E96" s="63" t="s">
        <v>103</v>
      </c>
      <c r="F96" s="80">
        <v>6.26040141E8</v>
      </c>
      <c r="G96" s="63"/>
      <c r="H96" s="63" t="s">
        <v>182</v>
      </c>
      <c r="I96" s="74" t="s">
        <v>178</v>
      </c>
      <c r="J96" s="42" t="s">
        <v>179</v>
      </c>
      <c r="K96" s="42">
        <v>6.37747973E9</v>
      </c>
      <c r="L96" s="79">
        <v>496.0</v>
      </c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</row>
    <row r="97">
      <c r="A97" s="82">
        <v>46177.0</v>
      </c>
      <c r="B97" s="49" t="s">
        <v>23</v>
      </c>
      <c r="C97" s="49" t="s">
        <v>183</v>
      </c>
      <c r="D97" s="49" t="s">
        <v>184</v>
      </c>
      <c r="E97" s="23" t="s">
        <v>54</v>
      </c>
      <c r="F97" s="64">
        <v>6.26030628E8</v>
      </c>
      <c r="H97" s="63">
        <v>6628.0</v>
      </c>
      <c r="I97" s="20" t="s">
        <v>114</v>
      </c>
      <c r="J97" s="17" t="s">
        <v>56</v>
      </c>
      <c r="K97" s="17">
        <v>9.956958533E9</v>
      </c>
      <c r="L97" s="49">
        <v>3340.0</v>
      </c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</row>
    <row r="98">
      <c r="A98" s="82">
        <v>46177.0</v>
      </c>
      <c r="B98" s="83">
        <v>46116.0</v>
      </c>
      <c r="C98" s="49" t="s">
        <v>183</v>
      </c>
      <c r="D98" s="49" t="s">
        <v>184</v>
      </c>
      <c r="E98" s="63" t="s">
        <v>54</v>
      </c>
      <c r="F98" s="64">
        <v>6.2604014E8</v>
      </c>
      <c r="H98" s="63">
        <v>6628.0</v>
      </c>
      <c r="I98" s="20" t="s">
        <v>114</v>
      </c>
      <c r="J98" s="17" t="s">
        <v>56</v>
      </c>
      <c r="K98" s="17">
        <v>9.956958533E9</v>
      </c>
      <c r="L98" s="63">
        <v>1050.0</v>
      </c>
      <c r="M98" s="51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7"/>
    </row>
    <row r="99">
      <c r="A99" s="82">
        <v>46177.0</v>
      </c>
      <c r="B99" s="16">
        <v>46206.0</v>
      </c>
      <c r="C99" s="17" t="s">
        <v>185</v>
      </c>
      <c r="D99" s="17" t="s">
        <v>186</v>
      </c>
      <c r="E99" s="17" t="s">
        <v>54</v>
      </c>
      <c r="F99" s="19">
        <v>6.26030165E8</v>
      </c>
      <c r="G99" s="6"/>
      <c r="H99" s="63">
        <v>6628.0</v>
      </c>
      <c r="I99" s="20" t="s">
        <v>114</v>
      </c>
      <c r="J99" s="17" t="s">
        <v>56</v>
      </c>
      <c r="K99" s="17">
        <v>9.956958533E9</v>
      </c>
      <c r="L99" s="84">
        <v>64.0</v>
      </c>
      <c r="M99" s="6"/>
      <c r="N99" s="6"/>
      <c r="O99" s="28"/>
      <c r="P99" s="6"/>
      <c r="Q99" s="35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7"/>
    </row>
    <row r="100">
      <c r="A100" s="82">
        <v>46177.0</v>
      </c>
      <c r="B100" s="49" t="s">
        <v>23</v>
      </c>
      <c r="C100" s="49" t="s">
        <v>187</v>
      </c>
      <c r="D100" s="49" t="s">
        <v>188</v>
      </c>
      <c r="E100" s="23" t="s">
        <v>27</v>
      </c>
      <c r="F100" s="64">
        <v>6.26030625E8</v>
      </c>
      <c r="H100" s="63">
        <v>12065.0</v>
      </c>
      <c r="I100" s="74" t="s">
        <v>189</v>
      </c>
      <c r="J100" s="17" t="s">
        <v>51</v>
      </c>
      <c r="K100" s="42">
        <v>9.592119839E9</v>
      </c>
      <c r="L100" s="65">
        <v>9700.0</v>
      </c>
      <c r="N100" s="6"/>
      <c r="O100" s="28"/>
      <c r="P100" s="6"/>
      <c r="Q100" s="49" t="s">
        <v>190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7"/>
    </row>
    <row r="101">
      <c r="A101" s="82">
        <v>46177.0</v>
      </c>
      <c r="B101" s="49" t="s">
        <v>23</v>
      </c>
      <c r="C101" s="49" t="s">
        <v>187</v>
      </c>
      <c r="D101" s="49" t="s">
        <v>188</v>
      </c>
      <c r="E101" s="23" t="s">
        <v>27</v>
      </c>
      <c r="F101" s="64">
        <v>6.26030665E8</v>
      </c>
      <c r="H101" s="63">
        <v>12065.0</v>
      </c>
      <c r="I101" s="74" t="s">
        <v>189</v>
      </c>
      <c r="J101" s="17" t="s">
        <v>51</v>
      </c>
      <c r="K101" s="42">
        <v>9.592119839E9</v>
      </c>
      <c r="L101" s="65">
        <v>0.0</v>
      </c>
      <c r="N101" s="6"/>
      <c r="O101" s="28"/>
      <c r="P101" s="6"/>
      <c r="Q101" s="49" t="s">
        <v>190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7"/>
    </row>
    <row r="102">
      <c r="A102" s="82">
        <v>46177.0</v>
      </c>
      <c r="B102" s="83">
        <v>46085.0</v>
      </c>
      <c r="C102" s="49" t="s">
        <v>187</v>
      </c>
      <c r="D102" s="49" t="s">
        <v>188</v>
      </c>
      <c r="E102" s="63" t="s">
        <v>27</v>
      </c>
      <c r="F102" s="64">
        <v>6.26040127E8</v>
      </c>
      <c r="G102" s="85" t="s">
        <v>191</v>
      </c>
      <c r="H102" s="63">
        <v>12065.0</v>
      </c>
      <c r="I102" s="74" t="s">
        <v>189</v>
      </c>
      <c r="J102" s="17" t="s">
        <v>51</v>
      </c>
      <c r="K102" s="42">
        <v>9.592119839E9</v>
      </c>
      <c r="L102" s="49">
        <v>1200.0</v>
      </c>
      <c r="N102" s="6"/>
      <c r="O102" s="6"/>
      <c r="P102" s="6"/>
      <c r="Q102" s="49" t="s">
        <v>192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7"/>
    </row>
    <row r="103">
      <c r="A103" s="82">
        <v>46177.0</v>
      </c>
      <c r="B103" s="83">
        <v>46085.0</v>
      </c>
      <c r="C103" s="49" t="s">
        <v>193</v>
      </c>
      <c r="D103" s="49" t="s">
        <v>194</v>
      </c>
      <c r="E103" s="63" t="s">
        <v>27</v>
      </c>
      <c r="F103" s="64">
        <v>6.26040119E8</v>
      </c>
      <c r="H103" s="63">
        <v>12064.0</v>
      </c>
      <c r="I103" s="74" t="s">
        <v>195</v>
      </c>
      <c r="J103" s="17" t="s">
        <v>51</v>
      </c>
      <c r="K103" s="42">
        <v>9.518405919E9</v>
      </c>
      <c r="L103" s="65">
        <v>2044.0</v>
      </c>
      <c r="M103" s="51"/>
      <c r="N103" s="6"/>
      <c r="O103" s="2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7"/>
    </row>
    <row r="104">
      <c r="A104" s="82">
        <v>46177.0</v>
      </c>
      <c r="B104" s="49" t="s">
        <v>23</v>
      </c>
      <c r="C104" s="49" t="s">
        <v>193</v>
      </c>
      <c r="D104" s="49" t="s">
        <v>194</v>
      </c>
      <c r="E104" s="63" t="s">
        <v>27</v>
      </c>
      <c r="F104" s="64">
        <v>6.26030627E8</v>
      </c>
      <c r="G104" s="51"/>
      <c r="H104" s="63">
        <v>12064.0</v>
      </c>
      <c r="I104" s="74" t="s">
        <v>195</v>
      </c>
      <c r="J104" s="17" t="s">
        <v>51</v>
      </c>
      <c r="K104" s="42">
        <v>9.518405919E9</v>
      </c>
      <c r="L104" s="65">
        <v>13500.0</v>
      </c>
      <c r="M104" s="51"/>
      <c r="N104" s="6"/>
      <c r="O104" s="2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7"/>
    </row>
    <row r="105">
      <c r="A105" s="82">
        <v>46177.0</v>
      </c>
      <c r="B105" s="49" t="s">
        <v>23</v>
      </c>
      <c r="C105" s="49" t="s">
        <v>193</v>
      </c>
      <c r="D105" s="49" t="s">
        <v>194</v>
      </c>
      <c r="E105" s="63" t="s">
        <v>27</v>
      </c>
      <c r="F105" s="64">
        <v>6.26030664E8</v>
      </c>
      <c r="G105" s="51"/>
      <c r="H105" s="63">
        <v>12064.0</v>
      </c>
      <c r="I105" s="74" t="s">
        <v>195</v>
      </c>
      <c r="J105" s="17" t="s">
        <v>51</v>
      </c>
      <c r="K105" s="42">
        <v>9.518405919E9</v>
      </c>
      <c r="L105" s="65">
        <v>0.0</v>
      </c>
      <c r="M105" s="51"/>
      <c r="N105" s="6"/>
      <c r="O105" s="2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7"/>
    </row>
    <row r="106">
      <c r="A106" s="82">
        <v>46177.0</v>
      </c>
      <c r="B106" s="83">
        <v>46085.0</v>
      </c>
      <c r="C106" s="49" t="s">
        <v>196</v>
      </c>
      <c r="D106" s="49" t="s">
        <v>197</v>
      </c>
      <c r="E106" s="63" t="s">
        <v>198</v>
      </c>
      <c r="F106" s="64">
        <v>6.26040126E8</v>
      </c>
      <c r="H106" s="63">
        <v>45424.0</v>
      </c>
      <c r="I106" s="47" t="s">
        <v>199</v>
      </c>
      <c r="J106" s="17" t="s">
        <v>200</v>
      </c>
      <c r="K106" s="42">
        <v>9.813800118E9</v>
      </c>
      <c r="L106" s="49">
        <v>240.0</v>
      </c>
      <c r="N106" s="6"/>
      <c r="O106" s="6"/>
      <c r="P106" s="6"/>
      <c r="Q106" s="49" t="s">
        <v>201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7"/>
    </row>
    <row r="107">
      <c r="A107" s="82">
        <v>46177.0</v>
      </c>
      <c r="B107" s="49" t="s">
        <v>23</v>
      </c>
      <c r="C107" s="49" t="s">
        <v>196</v>
      </c>
      <c r="D107" s="49" t="s">
        <v>197</v>
      </c>
      <c r="E107" s="63" t="s">
        <v>198</v>
      </c>
      <c r="F107" s="64">
        <v>6.26030634E8</v>
      </c>
      <c r="H107" s="63">
        <v>45424.0</v>
      </c>
      <c r="I107" s="47" t="s">
        <v>199</v>
      </c>
      <c r="J107" s="17" t="s">
        <v>200</v>
      </c>
      <c r="K107" s="42">
        <v>9.813800118E9</v>
      </c>
      <c r="L107" s="49">
        <v>4020.0</v>
      </c>
      <c r="N107" s="6"/>
      <c r="O107" s="6"/>
      <c r="P107" s="6"/>
      <c r="Q107" s="49" t="s">
        <v>201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7"/>
    </row>
    <row r="108">
      <c r="A108" s="82">
        <v>46177.0</v>
      </c>
      <c r="B108" s="49" t="s">
        <v>23</v>
      </c>
      <c r="C108" s="49" t="s">
        <v>196</v>
      </c>
      <c r="D108" s="49" t="s">
        <v>197</v>
      </c>
      <c r="E108" s="63" t="s">
        <v>198</v>
      </c>
      <c r="F108" s="64">
        <v>6.26030645E8</v>
      </c>
      <c r="H108" s="63">
        <v>45424.0</v>
      </c>
      <c r="I108" s="47" t="s">
        <v>199</v>
      </c>
      <c r="J108" s="17" t="s">
        <v>200</v>
      </c>
      <c r="K108" s="42">
        <v>9.813800118E9</v>
      </c>
      <c r="L108" s="49">
        <v>200.0</v>
      </c>
      <c r="N108" s="6"/>
      <c r="O108" s="6"/>
      <c r="P108" s="6"/>
      <c r="Q108" s="49" t="s">
        <v>201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7"/>
    </row>
    <row r="109">
      <c r="A109" s="82">
        <v>46177.0</v>
      </c>
      <c r="B109" s="83">
        <v>46116.0</v>
      </c>
      <c r="C109" s="49" t="s">
        <v>196</v>
      </c>
      <c r="D109" s="49" t="s">
        <v>197</v>
      </c>
      <c r="E109" s="63" t="s">
        <v>198</v>
      </c>
      <c r="F109" s="64">
        <v>6.26040139E8</v>
      </c>
      <c r="H109" s="63">
        <v>45424.0</v>
      </c>
      <c r="I109" s="47" t="s">
        <v>199</v>
      </c>
      <c r="J109" s="17" t="s">
        <v>200</v>
      </c>
      <c r="K109" s="42">
        <v>9.813800118E9</v>
      </c>
      <c r="L109" s="49">
        <v>0.0</v>
      </c>
      <c r="M109" s="51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7"/>
    </row>
    <row r="110">
      <c r="A110" s="82">
        <v>46177.0</v>
      </c>
      <c r="B110" s="83">
        <v>46116.0</v>
      </c>
      <c r="C110" s="49" t="s">
        <v>196</v>
      </c>
      <c r="D110" s="49" t="s">
        <v>197</v>
      </c>
      <c r="E110" s="63" t="s">
        <v>198</v>
      </c>
      <c r="F110" s="80">
        <v>6.26040125E8</v>
      </c>
      <c r="H110" s="63">
        <v>45424.0</v>
      </c>
      <c r="I110" s="47" t="s">
        <v>199</v>
      </c>
      <c r="J110" s="17" t="s">
        <v>200</v>
      </c>
      <c r="K110" s="42">
        <v>9.813800118E9</v>
      </c>
      <c r="L110" s="63">
        <v>3000.0</v>
      </c>
      <c r="M110" s="51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7"/>
    </row>
    <row r="111">
      <c r="A111" s="82">
        <v>46177.0</v>
      </c>
      <c r="B111" s="83">
        <v>46116.0</v>
      </c>
      <c r="C111" s="49" t="s">
        <v>202</v>
      </c>
      <c r="D111" s="49" t="s">
        <v>203</v>
      </c>
      <c r="E111" s="63" t="s">
        <v>198</v>
      </c>
      <c r="F111" s="64">
        <v>6.26040129E8</v>
      </c>
      <c r="H111" s="63">
        <v>45423.0</v>
      </c>
      <c r="I111" s="47" t="s">
        <v>199</v>
      </c>
      <c r="J111" s="17" t="s">
        <v>200</v>
      </c>
      <c r="K111" s="42">
        <v>9.813800118E9</v>
      </c>
      <c r="L111" s="49">
        <v>2850.0</v>
      </c>
      <c r="M111" s="51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7"/>
    </row>
    <row r="112">
      <c r="A112" s="82">
        <v>46177.0</v>
      </c>
      <c r="B112" s="49" t="s">
        <v>23</v>
      </c>
      <c r="C112" s="49" t="s">
        <v>202</v>
      </c>
      <c r="D112" s="49" t="s">
        <v>203</v>
      </c>
      <c r="E112" s="63" t="s">
        <v>198</v>
      </c>
      <c r="F112" s="64">
        <v>6.26030653E8</v>
      </c>
      <c r="H112" s="63">
        <v>45423.0</v>
      </c>
      <c r="I112" s="47" t="s">
        <v>199</v>
      </c>
      <c r="J112" s="17" t="s">
        <v>200</v>
      </c>
      <c r="K112" s="42">
        <v>9.813800118E9</v>
      </c>
      <c r="L112" s="49">
        <v>5100.0</v>
      </c>
      <c r="M112" s="51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7"/>
    </row>
    <row r="113">
      <c r="A113" s="82">
        <v>46177.0</v>
      </c>
      <c r="B113" s="83">
        <v>46085.0</v>
      </c>
      <c r="C113" s="49" t="s">
        <v>204</v>
      </c>
      <c r="D113" s="49" t="s">
        <v>205</v>
      </c>
      <c r="E113" s="63" t="s">
        <v>172</v>
      </c>
      <c r="F113" s="64">
        <v>6.26040123E8</v>
      </c>
      <c r="G113" s="51"/>
      <c r="H113" s="63">
        <v>1238.0</v>
      </c>
      <c r="I113" s="47" t="s">
        <v>206</v>
      </c>
      <c r="J113" s="17" t="s">
        <v>141</v>
      </c>
      <c r="K113" s="42">
        <v>9.068242929E9</v>
      </c>
      <c r="L113" s="65">
        <v>2000.0</v>
      </c>
      <c r="M113" s="51"/>
      <c r="N113" s="6"/>
      <c r="O113" s="2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7"/>
    </row>
    <row r="114">
      <c r="A114" s="82">
        <v>46177.0</v>
      </c>
      <c r="B114" s="49" t="s">
        <v>23</v>
      </c>
      <c r="C114" s="49" t="s">
        <v>204</v>
      </c>
      <c r="D114" s="49" t="s">
        <v>205</v>
      </c>
      <c r="E114" s="63" t="s">
        <v>172</v>
      </c>
      <c r="F114" s="64">
        <v>6.26030654E8</v>
      </c>
      <c r="H114" s="63">
        <v>1238.0</v>
      </c>
      <c r="I114" s="47" t="s">
        <v>206</v>
      </c>
      <c r="J114" s="17" t="s">
        <v>141</v>
      </c>
      <c r="K114" s="42">
        <v>9.068242929E9</v>
      </c>
      <c r="L114" s="65">
        <v>3660.0</v>
      </c>
      <c r="M114" s="51"/>
      <c r="N114" s="6"/>
      <c r="O114" s="2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7"/>
    </row>
    <row r="115">
      <c r="A115" s="82">
        <v>46177.0</v>
      </c>
      <c r="B115" s="49" t="s">
        <v>23</v>
      </c>
      <c r="C115" s="49" t="s">
        <v>204</v>
      </c>
      <c r="D115" s="49" t="s">
        <v>205</v>
      </c>
      <c r="E115" s="63" t="s">
        <v>172</v>
      </c>
      <c r="F115" s="64">
        <v>6.26030666E8</v>
      </c>
      <c r="H115" s="63">
        <v>1238.0</v>
      </c>
      <c r="I115" s="47" t="s">
        <v>206</v>
      </c>
      <c r="J115" s="17" t="s">
        <v>141</v>
      </c>
      <c r="K115" s="42">
        <v>9.068242929E9</v>
      </c>
      <c r="L115" s="65">
        <v>0.0</v>
      </c>
      <c r="M115" s="51"/>
      <c r="N115" s="6"/>
      <c r="O115" s="2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7"/>
    </row>
    <row r="116">
      <c r="A116" s="82">
        <v>46177.0</v>
      </c>
      <c r="B116" s="49" t="s">
        <v>24</v>
      </c>
      <c r="C116" s="21" t="s">
        <v>60</v>
      </c>
      <c r="D116" s="49" t="s">
        <v>117</v>
      </c>
      <c r="E116" s="63" t="s">
        <v>27</v>
      </c>
      <c r="F116" s="49" t="s">
        <v>207</v>
      </c>
      <c r="G116" s="49">
        <v>7.04260105E8</v>
      </c>
      <c r="H116" s="49" t="s">
        <v>75</v>
      </c>
      <c r="I116" s="74" t="s">
        <v>208</v>
      </c>
      <c r="J116" s="51" t="s">
        <v>31</v>
      </c>
      <c r="K116" s="63">
        <v>9.781016497E9</v>
      </c>
      <c r="L116" s="65">
        <v>12912.0</v>
      </c>
      <c r="N116" s="51"/>
      <c r="O116" s="66"/>
      <c r="P116" s="51"/>
      <c r="Q116" s="49" t="s">
        <v>32</v>
      </c>
      <c r="R116" s="49" t="s">
        <v>209</v>
      </c>
      <c r="S116" s="49" t="s">
        <v>210</v>
      </c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7"/>
    </row>
    <row r="117">
      <c r="A117" s="82">
        <v>46177.0</v>
      </c>
      <c r="B117" s="49" t="s">
        <v>17</v>
      </c>
      <c r="C117" s="21" t="s">
        <v>60</v>
      </c>
      <c r="D117" s="49" t="s">
        <v>117</v>
      </c>
      <c r="E117" s="63" t="s">
        <v>27</v>
      </c>
      <c r="F117" s="49" t="s">
        <v>211</v>
      </c>
      <c r="G117" s="49">
        <v>7.04260155E8</v>
      </c>
      <c r="H117" s="17" t="s">
        <v>29</v>
      </c>
      <c r="I117" s="20" t="s">
        <v>30</v>
      </c>
      <c r="J117" s="17" t="s">
        <v>31</v>
      </c>
      <c r="K117" s="17">
        <v>9.872987038E9</v>
      </c>
      <c r="L117" s="65">
        <v>16154.0</v>
      </c>
      <c r="N117" s="51"/>
      <c r="O117" s="66"/>
      <c r="P117" s="51"/>
      <c r="Q117" s="49" t="s">
        <v>32</v>
      </c>
      <c r="R117" s="49" t="s">
        <v>212</v>
      </c>
      <c r="S117" s="49" t="s">
        <v>210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7"/>
    </row>
    <row r="118">
      <c r="A118" s="82"/>
      <c r="B118" s="49"/>
      <c r="C118" s="49"/>
      <c r="D118" s="49"/>
      <c r="E118" s="23"/>
      <c r="F118" s="49"/>
      <c r="I118" s="51"/>
      <c r="J118" s="51"/>
      <c r="K118" s="51"/>
      <c r="L118" s="49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</row>
    <row r="119">
      <c r="A119" s="82"/>
      <c r="B119" s="49"/>
      <c r="C119" s="49"/>
      <c r="D119" s="49"/>
      <c r="E119" s="23"/>
      <c r="F119" s="49"/>
      <c r="I119" s="51"/>
      <c r="J119" s="51"/>
      <c r="K119" s="51"/>
      <c r="L119" s="86">
        <f>SUM(L78:L118)</f>
        <v>169634</v>
      </c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</row>
    <row r="120">
      <c r="A120" s="82"/>
      <c r="B120" s="49"/>
      <c r="C120" s="49"/>
      <c r="D120" s="49"/>
      <c r="E120" s="23"/>
      <c r="F120" s="49"/>
      <c r="I120" s="51"/>
      <c r="J120" s="51"/>
      <c r="K120" s="51"/>
      <c r="L120" s="49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</row>
    <row r="121">
      <c r="A121" s="82"/>
      <c r="B121" s="49"/>
      <c r="C121" s="49"/>
      <c r="D121" s="49"/>
      <c r="E121" s="23"/>
      <c r="F121" s="49"/>
      <c r="I121" s="51"/>
      <c r="J121" s="51"/>
      <c r="K121" s="51"/>
      <c r="L121" s="49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</row>
    <row r="122">
      <c r="A122" s="1">
        <v>46207.0</v>
      </c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4"/>
      <c r="P122" s="2"/>
      <c r="Q122" s="5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 ht="38.25" customHeight="1">
      <c r="A123" s="54" t="s">
        <v>0</v>
      </c>
      <c r="B123" s="54" t="s">
        <v>1</v>
      </c>
      <c r="C123" s="55" t="s">
        <v>2</v>
      </c>
      <c r="D123" s="55" t="s">
        <v>3</v>
      </c>
      <c r="E123" s="55" t="s">
        <v>4</v>
      </c>
      <c r="F123" s="55" t="s">
        <v>5</v>
      </c>
      <c r="G123" s="55" t="s">
        <v>6</v>
      </c>
      <c r="H123" s="55" t="s">
        <v>7</v>
      </c>
      <c r="I123" s="55" t="s">
        <v>8</v>
      </c>
      <c r="J123" s="55" t="s">
        <v>9</v>
      </c>
      <c r="K123" s="56" t="s">
        <v>10</v>
      </c>
      <c r="L123" s="57" t="s">
        <v>11</v>
      </c>
      <c r="M123" s="55" t="s">
        <v>12</v>
      </c>
      <c r="N123" s="55" t="s">
        <v>13</v>
      </c>
      <c r="O123" s="58" t="s">
        <v>14</v>
      </c>
      <c r="P123" s="59" t="s">
        <v>15</v>
      </c>
      <c r="Q123" s="55" t="s">
        <v>16</v>
      </c>
      <c r="R123" s="60"/>
      <c r="S123" s="60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</row>
    <row r="124">
      <c r="A124" s="82">
        <v>46207.0</v>
      </c>
      <c r="B124" s="83">
        <v>46177.0</v>
      </c>
      <c r="C124" s="49" t="s">
        <v>213</v>
      </c>
      <c r="D124" s="49" t="s">
        <v>214</v>
      </c>
      <c r="E124" s="63" t="s">
        <v>27</v>
      </c>
      <c r="F124" s="64">
        <v>6.26040142E8</v>
      </c>
      <c r="G124" s="51"/>
      <c r="H124" s="63">
        <v>6632.0</v>
      </c>
      <c r="I124" s="20" t="s">
        <v>127</v>
      </c>
      <c r="J124" s="72" t="s">
        <v>56</v>
      </c>
      <c r="K124" s="72">
        <v>8.826871385E9</v>
      </c>
      <c r="L124" s="68">
        <v>900.0</v>
      </c>
      <c r="M124" s="51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7"/>
    </row>
    <row r="125">
      <c r="A125" s="82">
        <v>46207.0</v>
      </c>
      <c r="B125" s="83">
        <v>46177.0</v>
      </c>
      <c r="C125" s="49" t="s">
        <v>213</v>
      </c>
      <c r="D125" s="49" t="s">
        <v>214</v>
      </c>
      <c r="E125" s="63" t="s">
        <v>27</v>
      </c>
      <c r="F125" s="64">
        <v>6.26040143E8</v>
      </c>
      <c r="G125" s="51"/>
      <c r="H125" s="63">
        <v>6632.0</v>
      </c>
      <c r="I125" s="20" t="s">
        <v>127</v>
      </c>
      <c r="J125" s="72" t="s">
        <v>56</v>
      </c>
      <c r="K125" s="72">
        <v>8.826871385E9</v>
      </c>
      <c r="L125" s="68">
        <v>3000.0</v>
      </c>
      <c r="M125" s="51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7"/>
    </row>
    <row r="126">
      <c r="A126" s="82">
        <v>46207.0</v>
      </c>
      <c r="B126" s="49" t="s">
        <v>23</v>
      </c>
      <c r="C126" s="49" t="s">
        <v>166</v>
      </c>
      <c r="D126" s="63" t="s">
        <v>167</v>
      </c>
      <c r="E126" s="23" t="s">
        <v>54</v>
      </c>
      <c r="F126" s="80">
        <v>6.26030615E8</v>
      </c>
      <c r="G126" s="51"/>
      <c r="H126" s="63">
        <v>1239.0</v>
      </c>
      <c r="I126" s="74" t="s">
        <v>215</v>
      </c>
      <c r="J126" s="17" t="s">
        <v>141</v>
      </c>
      <c r="K126" s="63">
        <v>7.01762967E9</v>
      </c>
      <c r="L126" s="79">
        <v>12000.0</v>
      </c>
      <c r="M126" s="51"/>
      <c r="N126" s="51"/>
      <c r="O126" s="66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</row>
    <row r="127">
      <c r="A127" s="82">
        <v>46207.0</v>
      </c>
      <c r="B127" s="49" t="s">
        <v>23</v>
      </c>
      <c r="C127" s="49" t="s">
        <v>216</v>
      </c>
      <c r="D127" s="49" t="s">
        <v>217</v>
      </c>
      <c r="E127" s="63" t="s">
        <v>54</v>
      </c>
      <c r="F127" s="64">
        <v>6.26030635E8</v>
      </c>
      <c r="G127" s="63">
        <v>2.0</v>
      </c>
      <c r="H127" s="63">
        <v>6633.0</v>
      </c>
      <c r="I127" s="20" t="s">
        <v>114</v>
      </c>
      <c r="J127" s="17" t="s">
        <v>56</v>
      </c>
      <c r="K127" s="17">
        <v>9.956958533E9</v>
      </c>
      <c r="L127" s="65">
        <v>840.0</v>
      </c>
      <c r="M127" s="6"/>
      <c r="N127" s="6"/>
      <c r="O127" s="2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7"/>
    </row>
    <row r="128">
      <c r="A128" s="82">
        <v>46207.0</v>
      </c>
      <c r="B128" s="49" t="s">
        <v>23</v>
      </c>
      <c r="C128" s="49" t="s">
        <v>216</v>
      </c>
      <c r="D128" s="49" t="s">
        <v>217</v>
      </c>
      <c r="E128" s="63" t="s">
        <v>54</v>
      </c>
      <c r="F128" s="64">
        <v>6.26030633E8</v>
      </c>
      <c r="G128" s="63">
        <v>2.0</v>
      </c>
      <c r="H128" s="63">
        <v>6633.0</v>
      </c>
      <c r="I128" s="20" t="s">
        <v>114</v>
      </c>
      <c r="J128" s="17" t="s">
        <v>56</v>
      </c>
      <c r="K128" s="17">
        <v>9.956958533E9</v>
      </c>
      <c r="L128" s="65">
        <v>300.0</v>
      </c>
      <c r="M128" s="6"/>
      <c r="N128" s="6"/>
      <c r="O128" s="2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7"/>
    </row>
    <row r="129">
      <c r="A129" s="82">
        <v>46207.0</v>
      </c>
      <c r="B129" s="49" t="s">
        <v>23</v>
      </c>
      <c r="C129" s="49" t="s">
        <v>218</v>
      </c>
      <c r="D129" s="49" t="s">
        <v>219</v>
      </c>
      <c r="E129" s="23" t="s">
        <v>54</v>
      </c>
      <c r="F129" s="64">
        <v>6.26030638E8</v>
      </c>
      <c r="G129" s="63">
        <v>2.0</v>
      </c>
      <c r="H129" s="63">
        <v>6634.0</v>
      </c>
      <c r="I129" s="20" t="s">
        <v>114</v>
      </c>
      <c r="J129" s="17" t="s">
        <v>56</v>
      </c>
      <c r="K129" s="17">
        <v>9.956958533E9</v>
      </c>
      <c r="L129" s="49">
        <v>1300.0</v>
      </c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</row>
    <row r="130">
      <c r="A130" s="82">
        <v>46207.0</v>
      </c>
      <c r="B130" s="83">
        <v>46085.0</v>
      </c>
      <c r="C130" s="49" t="s">
        <v>112</v>
      </c>
      <c r="D130" s="49" t="s">
        <v>220</v>
      </c>
      <c r="E130" s="63" t="s">
        <v>54</v>
      </c>
      <c r="F130" s="64">
        <v>6.2604012E8</v>
      </c>
      <c r="G130" s="63">
        <v>1.0</v>
      </c>
      <c r="H130" s="63">
        <v>6635.0</v>
      </c>
      <c r="I130" s="20" t="s">
        <v>114</v>
      </c>
      <c r="J130" s="17" t="s">
        <v>56</v>
      </c>
      <c r="K130" s="17">
        <v>9.956958533E9</v>
      </c>
      <c r="L130" s="65">
        <v>0.0</v>
      </c>
      <c r="M130" s="51"/>
      <c r="N130" s="6"/>
      <c r="O130" s="2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7"/>
    </row>
    <row r="131">
      <c r="A131" s="82">
        <v>46207.0</v>
      </c>
      <c r="B131" s="83">
        <v>46085.0</v>
      </c>
      <c r="C131" s="49" t="s">
        <v>112</v>
      </c>
      <c r="D131" s="49" t="s">
        <v>220</v>
      </c>
      <c r="E131" s="63" t="s">
        <v>54</v>
      </c>
      <c r="F131" s="64">
        <v>6.26040118E8</v>
      </c>
      <c r="G131" s="63">
        <v>1.0</v>
      </c>
      <c r="H131" s="63">
        <v>6635.0</v>
      </c>
      <c r="I131" s="20" t="s">
        <v>114</v>
      </c>
      <c r="J131" s="17" t="s">
        <v>56</v>
      </c>
      <c r="K131" s="17">
        <v>9.956958533E9</v>
      </c>
      <c r="L131" s="65">
        <v>1062.0</v>
      </c>
      <c r="M131" s="51"/>
      <c r="N131" s="24"/>
      <c r="O131" s="26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7"/>
    </row>
    <row r="132">
      <c r="A132" s="82">
        <v>46207.0</v>
      </c>
      <c r="B132" s="49" t="s">
        <v>86</v>
      </c>
      <c r="C132" s="79" t="s">
        <v>142</v>
      </c>
      <c r="D132" s="49" t="s">
        <v>143</v>
      </c>
      <c r="E132" s="63" t="s">
        <v>54</v>
      </c>
      <c r="F132" s="64">
        <v>6.26030534E8</v>
      </c>
      <c r="G132" s="49">
        <v>6.03260147E8</v>
      </c>
      <c r="H132" s="63">
        <v>11451.0</v>
      </c>
      <c r="I132" s="74" t="s">
        <v>221</v>
      </c>
      <c r="J132" s="42" t="s">
        <v>222</v>
      </c>
      <c r="K132" s="63">
        <v>9.936999394E9</v>
      </c>
      <c r="L132" s="65">
        <v>6600.0</v>
      </c>
      <c r="N132" s="51"/>
      <c r="O132" s="51"/>
      <c r="P132" s="51"/>
      <c r="Q132" s="49" t="s">
        <v>110</v>
      </c>
      <c r="R132" s="49"/>
      <c r="S132" s="49" t="s">
        <v>223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7"/>
    </row>
    <row r="133">
      <c r="A133" s="82">
        <v>46207.0</v>
      </c>
      <c r="B133" s="49" t="s">
        <v>17</v>
      </c>
      <c r="C133" s="79" t="s">
        <v>142</v>
      </c>
      <c r="D133" s="49" t="s">
        <v>143</v>
      </c>
      <c r="E133" s="63" t="s">
        <v>54</v>
      </c>
      <c r="F133" s="64">
        <v>6.26030546E8</v>
      </c>
      <c r="G133" s="49">
        <v>6.03260147E8</v>
      </c>
      <c r="H133" s="63">
        <v>11451.0</v>
      </c>
      <c r="I133" s="74" t="s">
        <v>221</v>
      </c>
      <c r="J133" s="42" t="s">
        <v>222</v>
      </c>
      <c r="K133" s="63">
        <v>9.936999394E9</v>
      </c>
      <c r="L133" s="65">
        <v>704.0</v>
      </c>
      <c r="N133" s="51"/>
      <c r="O133" s="51"/>
      <c r="P133" s="51"/>
      <c r="Q133" s="49" t="s">
        <v>224</v>
      </c>
      <c r="R133" s="49"/>
      <c r="S133" s="49" t="s">
        <v>223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7"/>
    </row>
    <row r="134">
      <c r="A134" s="82">
        <v>46207.0</v>
      </c>
      <c r="B134" s="49" t="s">
        <v>86</v>
      </c>
      <c r="C134" s="79" t="s">
        <v>142</v>
      </c>
      <c r="D134" s="49" t="s">
        <v>143</v>
      </c>
      <c r="E134" s="63" t="s">
        <v>54</v>
      </c>
      <c r="F134" s="64">
        <v>6.26030537E8</v>
      </c>
      <c r="G134" s="49">
        <v>6.03260147E8</v>
      </c>
      <c r="H134" s="63">
        <v>11451.0</v>
      </c>
      <c r="I134" s="74" t="s">
        <v>221</v>
      </c>
      <c r="J134" s="42" t="s">
        <v>222</v>
      </c>
      <c r="K134" s="63">
        <v>9.936999394E9</v>
      </c>
      <c r="L134" s="65">
        <v>4296.0</v>
      </c>
      <c r="N134" s="51"/>
      <c r="O134" s="51"/>
      <c r="P134" s="51"/>
      <c r="Q134" s="49" t="s">
        <v>225</v>
      </c>
      <c r="R134" s="49"/>
      <c r="S134" s="49" t="s">
        <v>223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7"/>
    </row>
    <row r="135">
      <c r="A135" s="82">
        <v>46207.0</v>
      </c>
      <c r="B135" s="49" t="s">
        <v>86</v>
      </c>
      <c r="C135" s="79" t="s">
        <v>142</v>
      </c>
      <c r="D135" s="49" t="s">
        <v>143</v>
      </c>
      <c r="E135" s="63" t="s">
        <v>54</v>
      </c>
      <c r="F135" s="64">
        <v>6.26030539E8</v>
      </c>
      <c r="G135" s="49">
        <v>6.03260149E8</v>
      </c>
      <c r="H135" s="63">
        <v>11452.0</v>
      </c>
      <c r="I135" s="74" t="s">
        <v>226</v>
      </c>
      <c r="J135" s="63" t="s">
        <v>222</v>
      </c>
      <c r="K135" s="63">
        <v>9.990961104E9</v>
      </c>
      <c r="L135" s="65">
        <v>8400.0</v>
      </c>
      <c r="N135" s="51"/>
      <c r="O135" s="51"/>
      <c r="P135" s="51"/>
      <c r="Q135" s="49" t="s">
        <v>227</v>
      </c>
      <c r="R135" s="49"/>
      <c r="S135" s="49" t="s">
        <v>223</v>
      </c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7"/>
    </row>
    <row r="136">
      <c r="A136" s="82">
        <v>46207.0</v>
      </c>
      <c r="B136" s="49" t="s">
        <v>17</v>
      </c>
      <c r="C136" s="79" t="s">
        <v>142</v>
      </c>
      <c r="D136" s="49" t="s">
        <v>143</v>
      </c>
      <c r="E136" s="63" t="s">
        <v>54</v>
      </c>
      <c r="F136" s="64">
        <v>6.26030543E8</v>
      </c>
      <c r="G136" s="49">
        <v>6.03260149E8</v>
      </c>
      <c r="H136" s="63">
        <v>11452.0</v>
      </c>
      <c r="I136" s="74" t="s">
        <v>226</v>
      </c>
      <c r="J136" s="63" t="s">
        <v>222</v>
      </c>
      <c r="K136" s="63">
        <v>9.990961104E9</v>
      </c>
      <c r="L136" s="65">
        <v>600.0</v>
      </c>
      <c r="N136" s="51"/>
      <c r="O136" s="51"/>
      <c r="P136" s="51"/>
      <c r="Q136" s="49" t="s">
        <v>228</v>
      </c>
      <c r="R136" s="49"/>
      <c r="S136" s="49" t="s">
        <v>223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7"/>
    </row>
    <row r="137">
      <c r="A137" s="82">
        <v>46207.0</v>
      </c>
      <c r="B137" s="49" t="s">
        <v>17</v>
      </c>
      <c r="C137" s="65" t="s">
        <v>168</v>
      </c>
      <c r="D137" s="49" t="s">
        <v>169</v>
      </c>
      <c r="E137" s="63" t="s">
        <v>27</v>
      </c>
      <c r="F137" s="64">
        <v>6.26030552E8</v>
      </c>
      <c r="G137" s="49">
        <v>6.03260144E8</v>
      </c>
      <c r="H137" s="63">
        <v>6636.0</v>
      </c>
      <c r="I137" s="20" t="s">
        <v>69</v>
      </c>
      <c r="J137" s="23" t="s">
        <v>56</v>
      </c>
      <c r="K137" s="23">
        <v>9.899885211E9</v>
      </c>
      <c r="L137" s="65">
        <v>5900.0</v>
      </c>
      <c r="N137" s="51"/>
      <c r="O137" s="66"/>
      <c r="P137" s="51"/>
      <c r="Q137" s="49" t="s">
        <v>110</v>
      </c>
      <c r="R137" s="51"/>
      <c r="S137" s="49" t="s">
        <v>145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7"/>
    </row>
    <row r="138">
      <c r="A138" s="82">
        <v>46207.0</v>
      </c>
      <c r="B138" s="49" t="s">
        <v>17</v>
      </c>
      <c r="C138" s="65" t="s">
        <v>168</v>
      </c>
      <c r="D138" s="49" t="s">
        <v>169</v>
      </c>
      <c r="E138" s="63" t="s">
        <v>27</v>
      </c>
      <c r="F138" s="64">
        <v>6.26030559E8</v>
      </c>
      <c r="G138" s="49">
        <v>6.03260144E8</v>
      </c>
      <c r="H138" s="63">
        <v>6636.0</v>
      </c>
      <c r="I138" s="20" t="s">
        <v>69</v>
      </c>
      <c r="J138" s="23" t="s">
        <v>56</v>
      </c>
      <c r="K138" s="23">
        <v>9.899885211E9</v>
      </c>
      <c r="L138" s="65">
        <v>2100.0</v>
      </c>
      <c r="N138" s="51"/>
      <c r="O138" s="66"/>
      <c r="P138" s="51"/>
      <c r="Q138" s="49" t="s">
        <v>110</v>
      </c>
      <c r="R138" s="51"/>
      <c r="S138" s="49" t="s">
        <v>145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7"/>
    </row>
    <row r="139">
      <c r="A139" s="82">
        <v>46207.0</v>
      </c>
      <c r="B139" s="49" t="s">
        <v>229</v>
      </c>
      <c r="C139" s="65" t="s">
        <v>168</v>
      </c>
      <c r="D139" s="49" t="s">
        <v>169</v>
      </c>
      <c r="E139" s="63" t="s">
        <v>27</v>
      </c>
      <c r="F139" s="64">
        <v>6.26038032E8</v>
      </c>
      <c r="G139" s="49">
        <v>6.03260146E8</v>
      </c>
      <c r="H139" s="63">
        <v>6636.0</v>
      </c>
      <c r="I139" s="20" t="s">
        <v>69</v>
      </c>
      <c r="J139" s="23" t="s">
        <v>56</v>
      </c>
      <c r="K139" s="23">
        <v>9.899885211E9</v>
      </c>
      <c r="L139" s="65">
        <v>155.0</v>
      </c>
      <c r="N139" s="51"/>
      <c r="O139" s="66"/>
      <c r="P139" s="51"/>
      <c r="Q139" s="49" t="s">
        <v>110</v>
      </c>
      <c r="R139" s="51"/>
      <c r="S139" s="49" t="s">
        <v>145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7"/>
    </row>
    <row r="140">
      <c r="A140" s="82">
        <v>46207.0</v>
      </c>
      <c r="B140" s="49" t="s">
        <v>23</v>
      </c>
      <c r="C140" s="49" t="s">
        <v>128</v>
      </c>
      <c r="D140" s="49" t="s">
        <v>129</v>
      </c>
      <c r="E140" s="63" t="s">
        <v>49</v>
      </c>
      <c r="F140" s="64">
        <v>6.26030631E8</v>
      </c>
      <c r="G140" s="51"/>
      <c r="H140" s="63">
        <v>37834.0</v>
      </c>
      <c r="I140" s="74" t="s">
        <v>230</v>
      </c>
      <c r="J140" s="42" t="s">
        <v>131</v>
      </c>
      <c r="K140" s="42">
        <v>8.950757493E9</v>
      </c>
      <c r="L140" s="65">
        <v>10000.0</v>
      </c>
      <c r="M140" s="51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7"/>
    </row>
    <row r="141">
      <c r="A141" s="82">
        <v>46207.0</v>
      </c>
      <c r="B141" s="49" t="s">
        <v>23</v>
      </c>
      <c r="C141" s="49" t="s">
        <v>128</v>
      </c>
      <c r="D141" s="49" t="s">
        <v>129</v>
      </c>
      <c r="E141" s="63" t="s">
        <v>49</v>
      </c>
      <c r="F141" s="64">
        <v>6.26030618E8</v>
      </c>
      <c r="G141" s="51"/>
      <c r="H141" s="63">
        <v>37834.0</v>
      </c>
      <c r="I141" s="74" t="s">
        <v>230</v>
      </c>
      <c r="J141" s="42" t="s">
        <v>131</v>
      </c>
      <c r="K141" s="42">
        <v>8.950757493E9</v>
      </c>
      <c r="L141" s="49">
        <v>2400.0</v>
      </c>
      <c r="M141" s="51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7"/>
    </row>
    <row r="142">
      <c r="A142" s="82">
        <v>46207.0</v>
      </c>
      <c r="B142" s="49" t="s">
        <v>23</v>
      </c>
      <c r="C142" s="49" t="s">
        <v>231</v>
      </c>
      <c r="D142" s="63" t="s">
        <v>232</v>
      </c>
      <c r="E142" s="63" t="s">
        <v>233</v>
      </c>
      <c r="F142" s="64">
        <v>6.26030644E8</v>
      </c>
      <c r="G142" s="63"/>
      <c r="H142" s="63">
        <v>11460.0</v>
      </c>
      <c r="I142" s="74" t="s">
        <v>234</v>
      </c>
      <c r="J142" s="42" t="s">
        <v>222</v>
      </c>
      <c r="K142" s="42">
        <v>7.818998177E9</v>
      </c>
      <c r="L142" s="68">
        <v>1000.0</v>
      </c>
      <c r="M142" s="51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7"/>
    </row>
    <row r="143">
      <c r="A143" s="82">
        <v>46207.0</v>
      </c>
      <c r="B143" s="83">
        <v>46177.0</v>
      </c>
      <c r="C143" s="49" t="s">
        <v>231</v>
      </c>
      <c r="D143" s="63" t="s">
        <v>232</v>
      </c>
      <c r="E143" s="63" t="s">
        <v>233</v>
      </c>
      <c r="F143" s="64">
        <v>6.26040144E8</v>
      </c>
      <c r="G143" s="51"/>
      <c r="H143" s="63">
        <v>11460.0</v>
      </c>
      <c r="I143" s="74" t="s">
        <v>234</v>
      </c>
      <c r="J143" s="42" t="s">
        <v>222</v>
      </c>
      <c r="K143" s="42">
        <v>7.818998177E9</v>
      </c>
      <c r="L143" s="68">
        <v>3600.0</v>
      </c>
      <c r="M143" s="51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7"/>
    </row>
    <row r="144">
      <c r="A144" s="82">
        <v>46207.0</v>
      </c>
      <c r="B144" s="49" t="s">
        <v>23</v>
      </c>
      <c r="C144" s="49" t="s">
        <v>231</v>
      </c>
      <c r="D144" s="63" t="s">
        <v>232</v>
      </c>
      <c r="E144" s="63" t="s">
        <v>233</v>
      </c>
      <c r="F144" s="64">
        <v>6.26030642E8</v>
      </c>
      <c r="G144" s="51"/>
      <c r="H144" s="63">
        <v>11460.0</v>
      </c>
      <c r="I144" s="74" t="s">
        <v>234</v>
      </c>
      <c r="J144" s="42" t="s">
        <v>222</v>
      </c>
      <c r="K144" s="42">
        <v>7.818998177E9</v>
      </c>
      <c r="L144" s="68">
        <v>6980.0</v>
      </c>
      <c r="M144" s="51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7"/>
    </row>
    <row r="145">
      <c r="A145" s="75">
        <v>46207.0</v>
      </c>
      <c r="B145" s="49" t="s">
        <v>23</v>
      </c>
      <c r="C145" s="49" t="s">
        <v>235</v>
      </c>
      <c r="D145" s="49" t="s">
        <v>236</v>
      </c>
      <c r="E145" s="63" t="s">
        <v>237</v>
      </c>
      <c r="F145" s="49">
        <v>6.26030624E8</v>
      </c>
      <c r="H145" s="63">
        <v>1422.0</v>
      </c>
      <c r="I145" s="74" t="s">
        <v>238</v>
      </c>
      <c r="J145" s="67" t="s">
        <v>239</v>
      </c>
      <c r="K145" s="67">
        <v>9.310062584E9</v>
      </c>
      <c r="L145" s="65">
        <v>2080.0</v>
      </c>
      <c r="M145" s="2"/>
      <c r="N145" s="2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82">
        <v>46207.0</v>
      </c>
      <c r="B146" s="49" t="s">
        <v>23</v>
      </c>
      <c r="C146" s="87" t="s">
        <v>240</v>
      </c>
      <c r="D146" s="49" t="s">
        <v>241</v>
      </c>
      <c r="E146" s="63" t="s">
        <v>20</v>
      </c>
      <c r="F146" s="64">
        <v>6.2603065E8</v>
      </c>
      <c r="G146" s="63"/>
      <c r="H146" s="63">
        <v>260039.0</v>
      </c>
      <c r="I146" s="74" t="s">
        <v>242</v>
      </c>
      <c r="J146" s="42" t="s">
        <v>41</v>
      </c>
      <c r="K146" s="42">
        <v>9.991964862E9</v>
      </c>
      <c r="L146" s="49">
        <v>3896.0</v>
      </c>
      <c r="M146" s="51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7"/>
    </row>
    <row r="147">
      <c r="A147" s="82">
        <v>46207.0</v>
      </c>
      <c r="B147" s="49" t="s">
        <v>23</v>
      </c>
      <c r="C147" s="87" t="s">
        <v>243</v>
      </c>
      <c r="D147" s="49" t="s">
        <v>244</v>
      </c>
      <c r="E147" s="63" t="s">
        <v>20</v>
      </c>
      <c r="F147" s="64">
        <v>6.26030639E8</v>
      </c>
      <c r="G147" s="63"/>
      <c r="H147" s="63">
        <v>260040.0</v>
      </c>
      <c r="I147" s="74" t="s">
        <v>242</v>
      </c>
      <c r="J147" s="63" t="s">
        <v>41</v>
      </c>
      <c r="K147" s="42">
        <v>9.991964862E9</v>
      </c>
      <c r="L147" s="49">
        <v>4096.0</v>
      </c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</row>
    <row r="148">
      <c r="A148" s="82">
        <v>46207.0</v>
      </c>
      <c r="B148" s="83">
        <v>46116.0</v>
      </c>
      <c r="C148" s="87" t="s">
        <v>243</v>
      </c>
      <c r="D148" s="49" t="s">
        <v>244</v>
      </c>
      <c r="E148" s="63" t="s">
        <v>20</v>
      </c>
      <c r="F148" s="64">
        <v>6.26040134E8</v>
      </c>
      <c r="G148" s="63"/>
      <c r="H148" s="63">
        <v>260040.0</v>
      </c>
      <c r="I148" s="74" t="s">
        <v>242</v>
      </c>
      <c r="J148" s="63" t="s">
        <v>41</v>
      </c>
      <c r="K148" s="42">
        <v>9.991964862E9</v>
      </c>
      <c r="L148" s="49">
        <v>960.0</v>
      </c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</row>
    <row r="149">
      <c r="A149" s="82">
        <v>46207.0</v>
      </c>
      <c r="B149" s="17" t="s">
        <v>23</v>
      </c>
      <c r="C149" s="88" t="s">
        <v>174</v>
      </c>
      <c r="D149" s="17" t="s">
        <v>245</v>
      </c>
      <c r="E149" s="17" t="s">
        <v>88</v>
      </c>
      <c r="F149" s="19">
        <v>6.26030623E8</v>
      </c>
      <c r="G149" s="51"/>
      <c r="H149" s="63">
        <v>260038.0</v>
      </c>
      <c r="I149" s="47" t="s">
        <v>246</v>
      </c>
      <c r="J149" s="42" t="s">
        <v>41</v>
      </c>
      <c r="K149" s="42">
        <v>9.671609624E9</v>
      </c>
      <c r="L149" s="21">
        <v>10442.0</v>
      </c>
      <c r="M149" s="6"/>
      <c r="N149" s="6"/>
      <c r="O149" s="2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7"/>
    </row>
    <row r="150">
      <c r="A150" s="82">
        <v>46207.0</v>
      </c>
      <c r="B150" s="49" t="s">
        <v>247</v>
      </c>
      <c r="C150" s="87" t="s">
        <v>174</v>
      </c>
      <c r="D150" s="63" t="s">
        <v>175</v>
      </c>
      <c r="E150" s="17" t="s">
        <v>88</v>
      </c>
      <c r="F150" s="64">
        <v>6.26030648E8</v>
      </c>
      <c r="G150" s="51"/>
      <c r="H150" s="63">
        <v>260038.0</v>
      </c>
      <c r="I150" s="74" t="s">
        <v>246</v>
      </c>
      <c r="J150" s="42" t="s">
        <v>41</v>
      </c>
      <c r="K150" s="42">
        <v>9.671609624E9</v>
      </c>
      <c r="L150" s="49">
        <v>2000.0</v>
      </c>
      <c r="M150" s="51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7"/>
    </row>
    <row r="151">
      <c r="A151" s="82">
        <v>46207.0</v>
      </c>
      <c r="B151" s="83">
        <v>46177.0</v>
      </c>
      <c r="C151" s="87" t="s">
        <v>174</v>
      </c>
      <c r="D151" s="63" t="s">
        <v>175</v>
      </c>
      <c r="E151" s="17" t="s">
        <v>88</v>
      </c>
      <c r="F151" s="64">
        <v>6.26040147E8</v>
      </c>
      <c r="G151" s="51"/>
      <c r="H151" s="63">
        <v>260038.0</v>
      </c>
      <c r="I151" s="74" t="s">
        <v>246</v>
      </c>
      <c r="J151" s="42" t="s">
        <v>41</v>
      </c>
      <c r="K151" s="42">
        <v>9.671609624E9</v>
      </c>
      <c r="L151" s="49">
        <v>70.0</v>
      </c>
      <c r="M151" s="51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7"/>
    </row>
    <row r="152">
      <c r="A152" s="82">
        <v>46207.0</v>
      </c>
      <c r="B152" s="49" t="s">
        <v>23</v>
      </c>
      <c r="C152" s="87" t="s">
        <v>248</v>
      </c>
      <c r="D152" s="49" t="s">
        <v>249</v>
      </c>
      <c r="E152" s="63" t="s">
        <v>20</v>
      </c>
      <c r="F152" s="64">
        <v>6.26030649E8</v>
      </c>
      <c r="G152" s="51"/>
      <c r="H152" s="63">
        <v>1.036105E7</v>
      </c>
      <c r="I152" s="74" t="s">
        <v>250</v>
      </c>
      <c r="J152" s="63" t="s">
        <v>251</v>
      </c>
      <c r="K152" s="63">
        <v>9.354732464E9</v>
      </c>
      <c r="L152" s="49">
        <v>4408.0</v>
      </c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</row>
    <row r="153">
      <c r="A153" s="82">
        <v>46207.0</v>
      </c>
      <c r="B153" s="83">
        <v>46116.0</v>
      </c>
      <c r="C153" s="87" t="s">
        <v>248</v>
      </c>
      <c r="D153" s="49" t="s">
        <v>249</v>
      </c>
      <c r="E153" s="63" t="s">
        <v>20</v>
      </c>
      <c r="F153" s="64">
        <v>6.26040133E8</v>
      </c>
      <c r="G153" s="51"/>
      <c r="H153" s="63">
        <v>1.036105E7</v>
      </c>
      <c r="I153" s="74" t="s">
        <v>250</v>
      </c>
      <c r="J153" s="63" t="s">
        <v>251</v>
      </c>
      <c r="K153" s="63">
        <v>9.354732464E9</v>
      </c>
      <c r="L153" s="49">
        <v>800.0</v>
      </c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</row>
    <row r="154">
      <c r="A154" s="82">
        <v>46207.0</v>
      </c>
      <c r="B154" s="49" t="s">
        <v>86</v>
      </c>
      <c r="C154" s="87" t="s">
        <v>174</v>
      </c>
      <c r="D154" s="49" t="s">
        <v>175</v>
      </c>
      <c r="E154" s="63" t="s">
        <v>88</v>
      </c>
      <c r="F154" s="64">
        <v>6.2603052E8</v>
      </c>
      <c r="G154" s="49">
        <v>6.03260154E8</v>
      </c>
      <c r="H154" s="63" t="s">
        <v>252</v>
      </c>
      <c r="I154" s="47" t="s">
        <v>253</v>
      </c>
      <c r="J154" s="42" t="s">
        <v>179</v>
      </c>
      <c r="K154" s="63">
        <v>9.050525012E9</v>
      </c>
      <c r="L154" s="65">
        <v>7220.0</v>
      </c>
      <c r="P154" s="51"/>
      <c r="Q154" s="65" t="s">
        <v>227</v>
      </c>
      <c r="R154" s="65"/>
      <c r="S154" s="65" t="s">
        <v>254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7"/>
    </row>
    <row r="155">
      <c r="A155" s="82">
        <v>46207.0</v>
      </c>
      <c r="B155" s="49" t="s">
        <v>86</v>
      </c>
      <c r="C155" s="87" t="s">
        <v>174</v>
      </c>
      <c r="D155" s="49" t="s">
        <v>175</v>
      </c>
      <c r="E155" s="63" t="s">
        <v>88</v>
      </c>
      <c r="F155" s="64">
        <v>6.26030523E8</v>
      </c>
      <c r="G155" s="49">
        <v>6.03260154E8</v>
      </c>
      <c r="H155" s="63" t="s">
        <v>252</v>
      </c>
      <c r="I155" s="47" t="s">
        <v>253</v>
      </c>
      <c r="J155" s="42" t="s">
        <v>179</v>
      </c>
      <c r="K155" s="63">
        <v>9.050525012E9</v>
      </c>
      <c r="L155" s="65">
        <v>9540.0</v>
      </c>
      <c r="P155" s="51"/>
      <c r="Q155" s="65" t="s">
        <v>227</v>
      </c>
      <c r="R155" s="65"/>
      <c r="S155" s="65" t="s">
        <v>254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7"/>
    </row>
    <row r="156">
      <c r="A156" s="82">
        <v>46207.0</v>
      </c>
      <c r="B156" s="83">
        <v>46116.0</v>
      </c>
      <c r="C156" s="49" t="s">
        <v>255</v>
      </c>
      <c r="D156" s="49" t="s">
        <v>256</v>
      </c>
      <c r="E156" s="63" t="s">
        <v>27</v>
      </c>
      <c r="F156" s="64">
        <v>6.26040138E8</v>
      </c>
      <c r="G156" s="63">
        <v>1.0</v>
      </c>
      <c r="H156" s="63">
        <v>2678.0</v>
      </c>
      <c r="I156" s="74" t="s">
        <v>257</v>
      </c>
      <c r="J156" s="63" t="s">
        <v>137</v>
      </c>
      <c r="K156" s="42">
        <v>9.211074746E9</v>
      </c>
      <c r="L156" s="49">
        <v>4000.0</v>
      </c>
      <c r="M156" s="51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7"/>
    </row>
    <row r="157">
      <c r="A157" s="82">
        <v>46207.0</v>
      </c>
      <c r="B157" s="83">
        <v>46085.0</v>
      </c>
      <c r="C157" s="49" t="s">
        <v>258</v>
      </c>
      <c r="D157" s="49" t="s">
        <v>259</v>
      </c>
      <c r="E157" s="63" t="s">
        <v>27</v>
      </c>
      <c r="F157" s="64">
        <v>6.26040121E8</v>
      </c>
      <c r="G157" s="63">
        <v>2.0</v>
      </c>
      <c r="H157" s="63">
        <v>2679.0</v>
      </c>
      <c r="I157" s="74" t="s">
        <v>257</v>
      </c>
      <c r="J157" s="63" t="s">
        <v>137</v>
      </c>
      <c r="K157" s="42">
        <v>9.211074746E9</v>
      </c>
      <c r="L157" s="65">
        <v>1000.0</v>
      </c>
      <c r="M157" s="51"/>
      <c r="N157" s="6"/>
      <c r="O157" s="2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7"/>
    </row>
    <row r="158">
      <c r="A158" s="82">
        <v>46207.0</v>
      </c>
      <c r="B158" s="49" t="s">
        <v>23</v>
      </c>
      <c r="C158" s="49" t="s">
        <v>258</v>
      </c>
      <c r="D158" s="49" t="s">
        <v>259</v>
      </c>
      <c r="E158" s="63" t="s">
        <v>27</v>
      </c>
      <c r="F158" s="64">
        <v>6.26030626E8</v>
      </c>
      <c r="G158" s="63">
        <v>2.0</v>
      </c>
      <c r="H158" s="63">
        <v>2679.0</v>
      </c>
      <c r="I158" s="74" t="s">
        <v>257</v>
      </c>
      <c r="J158" s="63" t="s">
        <v>137</v>
      </c>
      <c r="K158" s="42">
        <v>9.211074746E9</v>
      </c>
      <c r="L158" s="65">
        <v>2240.0</v>
      </c>
      <c r="M158" s="51"/>
      <c r="N158" s="6"/>
      <c r="O158" s="2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7"/>
    </row>
    <row r="159">
      <c r="A159" s="82">
        <v>46207.0</v>
      </c>
      <c r="B159" s="82">
        <v>46207.0</v>
      </c>
      <c r="C159" s="63" t="s">
        <v>260</v>
      </c>
      <c r="D159" s="63" t="s">
        <v>261</v>
      </c>
      <c r="E159" s="63" t="s">
        <v>172</v>
      </c>
      <c r="F159" s="49">
        <v>6.26040197E8</v>
      </c>
      <c r="H159" s="63" t="s">
        <v>29</v>
      </c>
      <c r="I159" s="74" t="s">
        <v>262</v>
      </c>
      <c r="J159" s="42" t="s">
        <v>263</v>
      </c>
      <c r="K159" s="17"/>
      <c r="L159" s="79">
        <v>1185.0</v>
      </c>
      <c r="M159" s="51"/>
      <c r="N159" s="6"/>
      <c r="O159" s="2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7"/>
    </row>
    <row r="160">
      <c r="A160" s="82"/>
      <c r="B160" s="83"/>
      <c r="C160" s="49"/>
      <c r="D160" s="49"/>
      <c r="E160" s="63"/>
      <c r="F160" s="49"/>
      <c r="I160" s="51"/>
      <c r="J160" s="17"/>
      <c r="K160" s="17"/>
      <c r="L160" s="65"/>
      <c r="M160" s="51"/>
      <c r="N160" s="6"/>
      <c r="O160" s="2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7"/>
    </row>
    <row r="161">
      <c r="A161" s="82"/>
      <c r="B161" s="83"/>
      <c r="C161" s="49"/>
      <c r="D161" s="49"/>
      <c r="E161" s="63"/>
      <c r="F161" s="49"/>
      <c r="I161" s="51"/>
      <c r="J161" s="17"/>
      <c r="K161" s="17"/>
      <c r="L161" s="89">
        <f>SUM(L124:L160)</f>
        <v>126074</v>
      </c>
      <c r="M161" s="51"/>
      <c r="N161" s="6"/>
      <c r="O161" s="2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7"/>
    </row>
    <row r="162">
      <c r="A162" s="1">
        <v>46238.0</v>
      </c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4"/>
      <c r="P162" s="2"/>
      <c r="Q162" s="5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ht="38.25" customHeight="1">
      <c r="A163" s="90" t="s">
        <v>0</v>
      </c>
      <c r="B163" s="90" t="s">
        <v>1</v>
      </c>
      <c r="C163" s="91" t="s">
        <v>2</v>
      </c>
      <c r="D163" s="91" t="s">
        <v>3</v>
      </c>
      <c r="E163" s="91" t="s">
        <v>4</v>
      </c>
      <c r="F163" s="91" t="s">
        <v>5</v>
      </c>
      <c r="G163" s="91" t="s">
        <v>6</v>
      </c>
      <c r="H163" s="91" t="s">
        <v>7</v>
      </c>
      <c r="I163" s="91" t="s">
        <v>8</v>
      </c>
      <c r="J163" s="91" t="s">
        <v>9</v>
      </c>
      <c r="K163" s="92" t="s">
        <v>10</v>
      </c>
      <c r="L163" s="93" t="s">
        <v>11</v>
      </c>
      <c r="M163" s="91" t="s">
        <v>12</v>
      </c>
      <c r="N163" s="91" t="s">
        <v>13</v>
      </c>
      <c r="O163" s="94" t="s">
        <v>14</v>
      </c>
      <c r="P163" s="95" t="s">
        <v>15</v>
      </c>
      <c r="Q163" s="91" t="s">
        <v>16</v>
      </c>
      <c r="R163" s="96"/>
      <c r="S163" s="96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</row>
    <row r="164">
      <c r="A164" s="82">
        <v>46238.0</v>
      </c>
      <c r="B164" s="83">
        <v>46116.0</v>
      </c>
      <c r="C164" s="49" t="s">
        <v>264</v>
      </c>
      <c r="D164" s="49" t="s">
        <v>265</v>
      </c>
      <c r="E164" s="63" t="s">
        <v>27</v>
      </c>
      <c r="F164" s="49">
        <v>6.26040135E8</v>
      </c>
      <c r="G164" s="49">
        <v>3.0</v>
      </c>
      <c r="H164" s="23" t="s">
        <v>29</v>
      </c>
      <c r="I164" s="20" t="s">
        <v>63</v>
      </c>
      <c r="J164" s="23" t="s">
        <v>64</v>
      </c>
      <c r="K164" s="23">
        <v>9.779272314E9</v>
      </c>
      <c r="L164" s="49">
        <v>1663.0</v>
      </c>
      <c r="M164" s="51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7"/>
    </row>
    <row r="165">
      <c r="A165" s="82">
        <v>46238.0</v>
      </c>
      <c r="B165" s="17" t="s">
        <v>23</v>
      </c>
      <c r="C165" s="17" t="s">
        <v>264</v>
      </c>
      <c r="D165" s="17" t="s">
        <v>266</v>
      </c>
      <c r="E165" s="17" t="s">
        <v>27</v>
      </c>
      <c r="F165" s="17">
        <v>6.26030601E8</v>
      </c>
      <c r="G165" s="49">
        <v>3.0</v>
      </c>
      <c r="H165" s="23" t="s">
        <v>29</v>
      </c>
      <c r="I165" s="20" t="s">
        <v>63</v>
      </c>
      <c r="J165" s="23" t="s">
        <v>64</v>
      </c>
      <c r="K165" s="23">
        <v>9.779272314E9</v>
      </c>
      <c r="L165" s="21">
        <v>825.0</v>
      </c>
      <c r="M165" s="6"/>
      <c r="N165" s="6"/>
      <c r="O165" s="2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7"/>
    </row>
    <row r="166">
      <c r="A166" s="82">
        <v>46238.0</v>
      </c>
      <c r="B166" s="83">
        <v>46177.0</v>
      </c>
      <c r="C166" s="49" t="s">
        <v>107</v>
      </c>
      <c r="D166" s="49" t="s">
        <v>108</v>
      </c>
      <c r="E166" s="63" t="s">
        <v>49</v>
      </c>
      <c r="F166" s="64">
        <v>6.26040148E8</v>
      </c>
      <c r="G166" s="49">
        <v>6.04260103E8</v>
      </c>
      <c r="H166" s="63">
        <v>6643.0</v>
      </c>
      <c r="I166" s="20" t="s">
        <v>148</v>
      </c>
      <c r="J166" s="76" t="s">
        <v>56</v>
      </c>
      <c r="K166" s="17">
        <v>8.799720529E9</v>
      </c>
      <c r="L166" s="65">
        <v>8260.0</v>
      </c>
      <c r="N166" s="51"/>
      <c r="O166" s="51"/>
      <c r="P166" s="51"/>
      <c r="Q166" s="49" t="s">
        <v>110</v>
      </c>
      <c r="R166" s="49"/>
      <c r="S166" s="49" t="s">
        <v>267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7"/>
    </row>
    <row r="167">
      <c r="A167" s="82">
        <v>46238.0</v>
      </c>
      <c r="B167" s="83">
        <v>46207.0</v>
      </c>
      <c r="C167" s="49" t="s">
        <v>107</v>
      </c>
      <c r="D167" s="49" t="s">
        <v>108</v>
      </c>
      <c r="E167" s="63" t="s">
        <v>49</v>
      </c>
      <c r="F167" s="64">
        <v>6.26040186E8</v>
      </c>
      <c r="G167" s="49">
        <v>6.04260103E8</v>
      </c>
      <c r="H167" s="63">
        <v>6643.0</v>
      </c>
      <c r="I167" s="20" t="s">
        <v>148</v>
      </c>
      <c r="J167" s="76" t="s">
        <v>56</v>
      </c>
      <c r="K167" s="17">
        <v>8.799720529E9</v>
      </c>
      <c r="L167" s="65">
        <v>880.0</v>
      </c>
      <c r="N167" s="51"/>
      <c r="O167" s="51"/>
      <c r="P167" s="51"/>
      <c r="Q167" s="49" t="s">
        <v>110</v>
      </c>
      <c r="R167" s="49"/>
      <c r="S167" s="49" t="s">
        <v>267</v>
      </c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7"/>
    </row>
    <row r="168">
      <c r="A168" s="82">
        <v>46238.0</v>
      </c>
      <c r="B168" s="83">
        <v>46207.0</v>
      </c>
      <c r="C168" s="49" t="s">
        <v>107</v>
      </c>
      <c r="D168" s="49" t="s">
        <v>108</v>
      </c>
      <c r="E168" s="63" t="s">
        <v>49</v>
      </c>
      <c r="F168" s="80">
        <v>6.26040194E8</v>
      </c>
      <c r="G168" s="49">
        <v>6.04260104E8</v>
      </c>
      <c r="H168" s="63">
        <v>6643.0</v>
      </c>
      <c r="I168" s="20" t="s">
        <v>148</v>
      </c>
      <c r="J168" s="76" t="s">
        <v>56</v>
      </c>
      <c r="K168" s="17">
        <v>8.799720529E9</v>
      </c>
      <c r="L168" s="65">
        <v>400.0</v>
      </c>
      <c r="N168" s="51"/>
      <c r="O168" s="51"/>
      <c r="P168" s="51"/>
      <c r="Q168" s="49" t="s">
        <v>110</v>
      </c>
      <c r="R168" s="49"/>
      <c r="S168" s="49" t="s">
        <v>267</v>
      </c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7"/>
    </row>
    <row r="169">
      <c r="A169" s="82">
        <v>46238.0</v>
      </c>
      <c r="B169" s="49" t="s">
        <v>86</v>
      </c>
      <c r="C169" s="25" t="s">
        <v>60</v>
      </c>
      <c r="D169" s="49" t="s">
        <v>268</v>
      </c>
      <c r="E169" s="63" t="s">
        <v>27</v>
      </c>
      <c r="F169" s="64" t="s">
        <v>269</v>
      </c>
      <c r="G169" s="49">
        <v>7.04260177E8</v>
      </c>
      <c r="H169" s="63">
        <v>260046.0</v>
      </c>
      <c r="I169" s="74" t="s">
        <v>270</v>
      </c>
      <c r="J169" s="42" t="s">
        <v>41</v>
      </c>
      <c r="K169" s="63">
        <v>9.813501651E9</v>
      </c>
      <c r="L169" s="49">
        <v>10703.0</v>
      </c>
      <c r="O169" s="51"/>
      <c r="P169" s="51"/>
      <c r="Q169" s="49" t="s">
        <v>32</v>
      </c>
      <c r="R169" s="49" t="s">
        <v>271</v>
      </c>
      <c r="S169" s="49" t="s">
        <v>272</v>
      </c>
      <c r="T169" s="51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7"/>
    </row>
    <row r="170">
      <c r="A170" s="82">
        <v>46238.0</v>
      </c>
      <c r="B170" s="49" t="s">
        <v>86</v>
      </c>
      <c r="C170" s="25" t="s">
        <v>60</v>
      </c>
      <c r="D170" s="49" t="s">
        <v>268</v>
      </c>
      <c r="E170" s="63" t="s">
        <v>27</v>
      </c>
      <c r="F170" s="64" t="s">
        <v>269</v>
      </c>
      <c r="G170" s="49">
        <v>7.04260181E8</v>
      </c>
      <c r="H170" s="63">
        <v>260046.0</v>
      </c>
      <c r="I170" s="74" t="s">
        <v>270</v>
      </c>
      <c r="J170" s="42" t="s">
        <v>41</v>
      </c>
      <c r="K170" s="63">
        <v>9.813501651E9</v>
      </c>
      <c r="L170" s="49">
        <v>642.0</v>
      </c>
      <c r="O170" s="51"/>
      <c r="P170" s="51"/>
      <c r="Q170" s="49" t="s">
        <v>32</v>
      </c>
      <c r="R170" s="49" t="s">
        <v>273</v>
      </c>
      <c r="S170" s="49" t="s">
        <v>272</v>
      </c>
      <c r="T170" s="51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7"/>
    </row>
    <row r="171">
      <c r="A171" s="82">
        <v>46238.0</v>
      </c>
      <c r="B171" s="49" t="s">
        <v>86</v>
      </c>
      <c r="C171" s="25" t="s">
        <v>60</v>
      </c>
      <c r="D171" s="49" t="s">
        <v>268</v>
      </c>
      <c r="E171" s="63" t="s">
        <v>27</v>
      </c>
      <c r="F171" s="80" t="s">
        <v>274</v>
      </c>
      <c r="G171" s="49">
        <v>7.04260206E8</v>
      </c>
      <c r="H171" s="63">
        <v>260046.0</v>
      </c>
      <c r="I171" s="74" t="s">
        <v>270</v>
      </c>
      <c r="J171" s="42" t="s">
        <v>41</v>
      </c>
      <c r="K171" s="63">
        <v>9.813501651E9</v>
      </c>
      <c r="L171" s="49">
        <v>2028.0</v>
      </c>
      <c r="O171" s="51"/>
      <c r="P171" s="51"/>
      <c r="Q171" s="49" t="s">
        <v>32</v>
      </c>
      <c r="R171" s="49" t="s">
        <v>275</v>
      </c>
      <c r="S171" s="49" t="s">
        <v>272</v>
      </c>
      <c r="T171" s="51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7"/>
    </row>
    <row r="172">
      <c r="A172" s="82">
        <v>46238.0</v>
      </c>
      <c r="B172" s="49" t="s">
        <v>86</v>
      </c>
      <c r="C172" s="25" t="s">
        <v>60</v>
      </c>
      <c r="D172" s="49" t="s">
        <v>268</v>
      </c>
      <c r="E172" s="63" t="s">
        <v>27</v>
      </c>
      <c r="F172" s="64" t="s">
        <v>276</v>
      </c>
      <c r="G172" s="49">
        <v>7.04260207E8</v>
      </c>
      <c r="H172" s="63">
        <v>260046.0</v>
      </c>
      <c r="I172" s="74" t="s">
        <v>270</v>
      </c>
      <c r="J172" s="42" t="s">
        <v>41</v>
      </c>
      <c r="K172" s="63">
        <v>9.813501651E9</v>
      </c>
      <c r="L172" s="49">
        <v>945.0</v>
      </c>
      <c r="O172" s="51"/>
      <c r="P172" s="51"/>
      <c r="Q172" s="49" t="s">
        <v>32</v>
      </c>
      <c r="R172" s="49" t="s">
        <v>277</v>
      </c>
      <c r="S172" s="49" t="s">
        <v>272</v>
      </c>
      <c r="T172" s="51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7"/>
    </row>
    <row r="173">
      <c r="A173" s="82">
        <v>46238.0</v>
      </c>
      <c r="B173" s="83">
        <v>46177.0</v>
      </c>
      <c r="C173" s="49" t="s">
        <v>107</v>
      </c>
      <c r="D173" s="49" t="s">
        <v>108</v>
      </c>
      <c r="E173" s="63" t="s">
        <v>49</v>
      </c>
      <c r="F173" s="64">
        <v>6.26040149E8</v>
      </c>
      <c r="G173" s="63" t="s">
        <v>278</v>
      </c>
      <c r="H173" s="63">
        <v>12068.0</v>
      </c>
      <c r="I173" s="74" t="s">
        <v>195</v>
      </c>
      <c r="J173" s="42" t="s">
        <v>51</v>
      </c>
      <c r="K173" s="63">
        <v>9.518405919E9</v>
      </c>
      <c r="L173" s="65">
        <v>4600.0</v>
      </c>
      <c r="N173" s="51"/>
      <c r="O173" s="51"/>
      <c r="P173" s="51"/>
      <c r="Q173" s="49" t="s">
        <v>110</v>
      </c>
      <c r="R173" s="49"/>
      <c r="S173" s="49" t="s">
        <v>267</v>
      </c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7"/>
    </row>
    <row r="174">
      <c r="A174" s="82">
        <v>46238.0</v>
      </c>
      <c r="B174" s="49" t="s">
        <v>23</v>
      </c>
      <c r="C174" s="49" t="s">
        <v>279</v>
      </c>
      <c r="D174" s="49" t="s">
        <v>280</v>
      </c>
      <c r="E174" s="63" t="s">
        <v>49</v>
      </c>
      <c r="F174" s="64">
        <v>6.26030619E8</v>
      </c>
      <c r="G174" s="51"/>
      <c r="H174" s="63">
        <v>12069.0</v>
      </c>
      <c r="I174" s="74" t="s">
        <v>195</v>
      </c>
      <c r="J174" s="42" t="s">
        <v>51</v>
      </c>
      <c r="K174" s="63">
        <v>9.518405919E9</v>
      </c>
      <c r="L174" s="65">
        <v>6000.0</v>
      </c>
      <c r="M174" s="51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7"/>
    </row>
    <row r="175">
      <c r="A175" s="82">
        <v>46238.0</v>
      </c>
      <c r="B175" s="83">
        <v>46207.0</v>
      </c>
      <c r="C175" s="49" t="s">
        <v>281</v>
      </c>
      <c r="D175" s="49" t="s">
        <v>282</v>
      </c>
      <c r="E175" s="63" t="s">
        <v>49</v>
      </c>
      <c r="F175" s="64">
        <v>6.26040154E8</v>
      </c>
      <c r="H175" s="63">
        <v>12066.0</v>
      </c>
      <c r="I175" s="74" t="s">
        <v>195</v>
      </c>
      <c r="J175" s="42" t="s">
        <v>51</v>
      </c>
      <c r="K175" s="63">
        <v>9.518405919E9</v>
      </c>
      <c r="L175" s="63">
        <v>32.0</v>
      </c>
      <c r="M175" s="51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7"/>
    </row>
    <row r="176">
      <c r="A176" s="82">
        <v>46238.0</v>
      </c>
      <c r="B176" s="83">
        <v>46207.0</v>
      </c>
      <c r="C176" s="49" t="s">
        <v>281</v>
      </c>
      <c r="D176" s="49" t="s">
        <v>282</v>
      </c>
      <c r="E176" s="63" t="s">
        <v>49</v>
      </c>
      <c r="F176" s="64">
        <v>6.26040161E8</v>
      </c>
      <c r="H176" s="63">
        <v>12066.0</v>
      </c>
      <c r="I176" s="74" t="s">
        <v>195</v>
      </c>
      <c r="J176" s="42" t="s">
        <v>51</v>
      </c>
      <c r="K176" s="63">
        <v>9.518405919E9</v>
      </c>
      <c r="L176" s="63">
        <v>88.0</v>
      </c>
      <c r="M176" s="51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7"/>
    </row>
    <row r="177">
      <c r="A177" s="82">
        <v>46238.0</v>
      </c>
      <c r="B177" s="83">
        <v>46207.0</v>
      </c>
      <c r="C177" s="49" t="s">
        <v>281</v>
      </c>
      <c r="D177" s="49" t="s">
        <v>282</v>
      </c>
      <c r="E177" s="63" t="s">
        <v>49</v>
      </c>
      <c r="F177" s="64">
        <v>6.2604018E8</v>
      </c>
      <c r="H177" s="63">
        <v>12066.0</v>
      </c>
      <c r="I177" s="74" t="s">
        <v>195</v>
      </c>
      <c r="J177" s="42" t="s">
        <v>51</v>
      </c>
      <c r="K177" s="63">
        <v>9.518405919E9</v>
      </c>
      <c r="L177" s="63">
        <v>3227.0</v>
      </c>
      <c r="M177" s="51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7"/>
    </row>
    <row r="178">
      <c r="A178" s="82"/>
      <c r="B178" s="49"/>
      <c r="C178" s="25"/>
      <c r="D178" s="49"/>
      <c r="E178" s="63"/>
      <c r="F178" s="49"/>
      <c r="G178" s="49"/>
      <c r="L178" s="49"/>
      <c r="O178" s="51"/>
      <c r="P178" s="51"/>
      <c r="Q178" s="49"/>
      <c r="R178" s="49"/>
      <c r="S178" s="49"/>
      <c r="T178" s="51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7"/>
    </row>
    <row r="179" ht="23.25" customHeight="1">
      <c r="A179" s="82"/>
      <c r="B179" s="49"/>
      <c r="C179" s="25"/>
      <c r="D179" s="49"/>
      <c r="E179" s="63"/>
      <c r="F179" s="49"/>
      <c r="G179" s="49"/>
      <c r="L179" s="86">
        <f>SUM(L164:L178)</f>
        <v>40293</v>
      </c>
      <c r="O179" s="51"/>
      <c r="P179" s="51"/>
      <c r="Q179" s="49"/>
      <c r="R179" s="49"/>
      <c r="S179" s="49"/>
      <c r="T179" s="51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7"/>
    </row>
    <row r="180">
      <c r="A180" s="82"/>
      <c r="B180" s="49"/>
      <c r="C180" s="25"/>
      <c r="D180" s="49"/>
      <c r="E180" s="63"/>
      <c r="F180" s="49"/>
      <c r="G180" s="49"/>
      <c r="L180" s="49"/>
      <c r="O180" s="51"/>
      <c r="P180" s="51"/>
      <c r="Q180" s="49"/>
      <c r="R180" s="49"/>
      <c r="S180" s="49"/>
      <c r="T180" s="51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7"/>
    </row>
    <row r="181">
      <c r="A181" s="82"/>
      <c r="B181" s="49"/>
      <c r="C181" s="25"/>
      <c r="D181" s="49"/>
      <c r="E181" s="63"/>
      <c r="F181" s="49"/>
      <c r="G181" s="49"/>
      <c r="L181" s="49"/>
      <c r="O181" s="51"/>
      <c r="P181" s="51"/>
      <c r="Q181" s="49"/>
      <c r="R181" s="49"/>
      <c r="S181" s="49"/>
      <c r="T181" s="51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7"/>
    </row>
    <row r="182">
      <c r="A182" s="1">
        <v>46269.0</v>
      </c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4"/>
      <c r="P182" s="2"/>
      <c r="Q182" s="5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ht="38.25" customHeight="1">
      <c r="A183" s="90" t="s">
        <v>0</v>
      </c>
      <c r="B183" s="90" t="s">
        <v>1</v>
      </c>
      <c r="C183" s="91" t="s">
        <v>2</v>
      </c>
      <c r="D183" s="91" t="s">
        <v>3</v>
      </c>
      <c r="E183" s="91" t="s">
        <v>4</v>
      </c>
      <c r="F183" s="91" t="s">
        <v>5</v>
      </c>
      <c r="G183" s="91" t="s">
        <v>6</v>
      </c>
      <c r="H183" s="91" t="s">
        <v>7</v>
      </c>
      <c r="I183" s="91" t="s">
        <v>8</v>
      </c>
      <c r="J183" s="91" t="s">
        <v>9</v>
      </c>
      <c r="K183" s="92" t="s">
        <v>10</v>
      </c>
      <c r="L183" s="93" t="s">
        <v>11</v>
      </c>
      <c r="M183" s="91" t="s">
        <v>12</v>
      </c>
      <c r="N183" s="91" t="s">
        <v>13</v>
      </c>
      <c r="O183" s="94" t="s">
        <v>14</v>
      </c>
      <c r="P183" s="95" t="s">
        <v>15</v>
      </c>
      <c r="Q183" s="91" t="s">
        <v>16</v>
      </c>
      <c r="R183" s="96"/>
      <c r="S183" s="96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</row>
    <row r="184">
      <c r="A184" s="82">
        <v>46269.0</v>
      </c>
      <c r="B184" s="83">
        <v>46238.0</v>
      </c>
      <c r="C184" s="49" t="s">
        <v>283</v>
      </c>
      <c r="D184" s="49" t="s">
        <v>284</v>
      </c>
      <c r="E184" s="63" t="s">
        <v>54</v>
      </c>
      <c r="F184" s="98">
        <v>6.26040203E8</v>
      </c>
      <c r="G184" s="99"/>
      <c r="H184" s="49">
        <v>6644.0</v>
      </c>
      <c r="I184" s="20" t="s">
        <v>55</v>
      </c>
      <c r="J184" s="40" t="s">
        <v>56</v>
      </c>
      <c r="K184" s="22">
        <v>9.718858411E9</v>
      </c>
      <c r="L184" s="65">
        <v>2400.0</v>
      </c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</row>
    <row r="185">
      <c r="A185" s="82">
        <v>46269.0</v>
      </c>
      <c r="B185" s="83">
        <v>46238.0</v>
      </c>
      <c r="C185" s="49" t="s">
        <v>283</v>
      </c>
      <c r="D185" s="49" t="s">
        <v>284</v>
      </c>
      <c r="E185" s="63" t="s">
        <v>54</v>
      </c>
      <c r="F185" s="98">
        <v>6.26040204E8</v>
      </c>
      <c r="G185" s="99"/>
      <c r="H185" s="49">
        <v>6644.0</v>
      </c>
      <c r="I185" s="20" t="s">
        <v>55</v>
      </c>
      <c r="J185" s="40" t="s">
        <v>56</v>
      </c>
      <c r="K185" s="22">
        <v>9.718858411E9</v>
      </c>
      <c r="L185" s="65">
        <v>3619.0</v>
      </c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</row>
    <row r="186">
      <c r="A186" s="82">
        <v>46269.0</v>
      </c>
      <c r="B186" s="49" t="s">
        <v>17</v>
      </c>
      <c r="C186" s="25" t="s">
        <v>60</v>
      </c>
      <c r="D186" s="49" t="s">
        <v>285</v>
      </c>
      <c r="E186" s="63" t="s">
        <v>20</v>
      </c>
      <c r="F186" s="98" t="s">
        <v>286</v>
      </c>
      <c r="G186" s="49">
        <v>7.04260184E8</v>
      </c>
      <c r="H186" s="63">
        <v>1378.0</v>
      </c>
      <c r="I186" s="20" t="s">
        <v>55</v>
      </c>
      <c r="J186" s="42" t="s">
        <v>85</v>
      </c>
      <c r="K186" s="22">
        <v>9.718858411E9</v>
      </c>
      <c r="L186" s="49">
        <v>2919.0</v>
      </c>
      <c r="O186" s="51"/>
      <c r="P186" s="51"/>
      <c r="Q186" s="49" t="s">
        <v>32</v>
      </c>
      <c r="R186" s="49" t="s">
        <v>287</v>
      </c>
      <c r="S186" s="49" t="s">
        <v>288</v>
      </c>
      <c r="T186" s="51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7"/>
    </row>
    <row r="187">
      <c r="A187" s="82">
        <v>46269.0</v>
      </c>
      <c r="B187" s="83">
        <v>46207.0</v>
      </c>
      <c r="C187" s="49" t="s">
        <v>281</v>
      </c>
      <c r="D187" s="49" t="s">
        <v>289</v>
      </c>
      <c r="E187" s="63" t="s">
        <v>290</v>
      </c>
      <c r="F187" s="98">
        <v>6.26040169E8</v>
      </c>
      <c r="G187" s="63" t="s">
        <v>291</v>
      </c>
      <c r="H187" s="49">
        <v>1347.0</v>
      </c>
      <c r="I187" s="74" t="s">
        <v>292</v>
      </c>
      <c r="J187" s="42" t="s">
        <v>85</v>
      </c>
      <c r="K187" s="42">
        <v>7.006317921E9</v>
      </c>
      <c r="L187" s="63">
        <v>520.0</v>
      </c>
      <c r="M187" s="51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7"/>
    </row>
    <row r="188">
      <c r="A188" s="82">
        <v>46269.0</v>
      </c>
      <c r="B188" s="83">
        <v>46207.0</v>
      </c>
      <c r="C188" s="49" t="s">
        <v>281</v>
      </c>
      <c r="D188" s="49" t="s">
        <v>293</v>
      </c>
      <c r="E188" s="63" t="s">
        <v>294</v>
      </c>
      <c r="F188" s="98">
        <v>6.26040183E8</v>
      </c>
      <c r="G188" s="49">
        <v>33791.0</v>
      </c>
      <c r="H188" s="49">
        <v>1348.0</v>
      </c>
      <c r="I188" s="74" t="s">
        <v>292</v>
      </c>
      <c r="J188" s="42" t="s">
        <v>85</v>
      </c>
      <c r="K188" s="42">
        <v>7.006317921E9</v>
      </c>
      <c r="L188" s="63">
        <v>184.0</v>
      </c>
      <c r="M188" s="51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7"/>
    </row>
    <row r="189">
      <c r="A189" s="82">
        <v>46269.0</v>
      </c>
      <c r="B189" s="83">
        <v>46207.0</v>
      </c>
      <c r="C189" s="49" t="s">
        <v>281</v>
      </c>
      <c r="D189" s="49" t="s">
        <v>295</v>
      </c>
      <c r="E189" s="63" t="s">
        <v>88</v>
      </c>
      <c r="F189" s="98">
        <v>6.2604015E8</v>
      </c>
      <c r="G189" s="49">
        <v>18396.0</v>
      </c>
      <c r="H189" s="49">
        <v>1349.0</v>
      </c>
      <c r="I189" s="74" t="s">
        <v>292</v>
      </c>
      <c r="J189" s="42" t="s">
        <v>85</v>
      </c>
      <c r="K189" s="42">
        <v>7.006317921E9</v>
      </c>
      <c r="L189" s="63">
        <v>48.0</v>
      </c>
      <c r="M189" s="51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7"/>
    </row>
    <row r="190">
      <c r="A190" s="82">
        <v>46269.0</v>
      </c>
      <c r="B190" s="83">
        <v>46207.0</v>
      </c>
      <c r="C190" s="49" t="s">
        <v>281</v>
      </c>
      <c r="D190" s="49" t="s">
        <v>295</v>
      </c>
      <c r="E190" s="63" t="s">
        <v>88</v>
      </c>
      <c r="F190" s="98">
        <v>6.26040158E8</v>
      </c>
      <c r="G190" s="49">
        <v>61248.0</v>
      </c>
      <c r="H190" s="49">
        <v>1350.0</v>
      </c>
      <c r="I190" s="74" t="s">
        <v>292</v>
      </c>
      <c r="J190" s="42" t="s">
        <v>85</v>
      </c>
      <c r="K190" s="42">
        <v>7.006317921E9</v>
      </c>
      <c r="L190" s="63">
        <v>96.0</v>
      </c>
      <c r="M190" s="51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7"/>
    </row>
    <row r="191">
      <c r="A191" s="82">
        <v>46269.0</v>
      </c>
      <c r="B191" s="83">
        <v>46207.0</v>
      </c>
      <c r="C191" s="49" t="s">
        <v>281</v>
      </c>
      <c r="D191" s="49" t="s">
        <v>295</v>
      </c>
      <c r="E191" s="63" t="s">
        <v>88</v>
      </c>
      <c r="F191" s="98">
        <v>6.26040172E8</v>
      </c>
      <c r="G191" s="49">
        <v>121648.0</v>
      </c>
      <c r="H191" s="49">
        <v>1351.0</v>
      </c>
      <c r="I191" s="74" t="s">
        <v>292</v>
      </c>
      <c r="J191" s="42" t="s">
        <v>85</v>
      </c>
      <c r="K191" s="42">
        <v>7.006317921E9</v>
      </c>
      <c r="L191" s="63">
        <v>526.0</v>
      </c>
      <c r="M191" s="51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7"/>
    </row>
    <row r="192">
      <c r="A192" s="82">
        <v>46269.0</v>
      </c>
      <c r="B192" s="83">
        <v>46207.0</v>
      </c>
      <c r="C192" s="49" t="s">
        <v>281</v>
      </c>
      <c r="D192" s="49" t="s">
        <v>296</v>
      </c>
      <c r="E192" s="63" t="s">
        <v>297</v>
      </c>
      <c r="F192" s="98">
        <v>6.26040155E8</v>
      </c>
      <c r="G192" s="49">
        <v>6132.0</v>
      </c>
      <c r="H192" s="49">
        <v>1352.0</v>
      </c>
      <c r="I192" s="74" t="s">
        <v>292</v>
      </c>
      <c r="J192" s="42" t="s">
        <v>85</v>
      </c>
      <c r="K192" s="42">
        <v>7.006317921E9</v>
      </c>
      <c r="L192" s="63">
        <v>16.0</v>
      </c>
      <c r="M192" s="51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7"/>
    </row>
    <row r="193">
      <c r="A193" s="82">
        <v>46269.0</v>
      </c>
      <c r="B193" s="83">
        <v>46207.0</v>
      </c>
      <c r="C193" s="49" t="s">
        <v>281</v>
      </c>
      <c r="D193" s="49" t="s">
        <v>296</v>
      </c>
      <c r="E193" s="63" t="s">
        <v>297</v>
      </c>
      <c r="F193" s="98">
        <v>6.26040162E8</v>
      </c>
      <c r="G193" s="49">
        <v>19219.0</v>
      </c>
      <c r="H193" s="49">
        <v>1353.0</v>
      </c>
      <c r="I193" s="74" t="s">
        <v>292</v>
      </c>
      <c r="J193" s="42" t="s">
        <v>85</v>
      </c>
      <c r="K193" s="42">
        <v>7.006317921E9</v>
      </c>
      <c r="L193" s="63">
        <v>28.0</v>
      </c>
      <c r="M193" s="51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7"/>
    </row>
    <row r="194">
      <c r="A194" s="82">
        <v>46269.0</v>
      </c>
      <c r="B194" s="83">
        <v>46207.0</v>
      </c>
      <c r="C194" s="49" t="s">
        <v>281</v>
      </c>
      <c r="D194" s="49" t="s">
        <v>296</v>
      </c>
      <c r="E194" s="63" t="s">
        <v>297</v>
      </c>
      <c r="F194" s="98">
        <v>6.26040191E8</v>
      </c>
      <c r="G194" s="49">
        <v>65332.0</v>
      </c>
      <c r="H194" s="49">
        <v>1354.0</v>
      </c>
      <c r="I194" s="74" t="s">
        <v>292</v>
      </c>
      <c r="J194" s="42" t="s">
        <v>85</v>
      </c>
      <c r="K194" s="42">
        <v>7.006317921E9</v>
      </c>
      <c r="L194" s="63">
        <v>304.0</v>
      </c>
      <c r="M194" s="51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7"/>
    </row>
    <row r="195">
      <c r="A195" s="82">
        <v>46269.0</v>
      </c>
      <c r="B195" s="83">
        <v>46207.0</v>
      </c>
      <c r="C195" s="49" t="s">
        <v>281</v>
      </c>
      <c r="D195" s="49" t="s">
        <v>298</v>
      </c>
      <c r="E195" s="63" t="s">
        <v>20</v>
      </c>
      <c r="F195" s="98">
        <v>6.26040192E8</v>
      </c>
      <c r="G195" s="63" t="s">
        <v>299</v>
      </c>
      <c r="H195" s="49">
        <v>1355.0</v>
      </c>
      <c r="I195" s="74" t="s">
        <v>292</v>
      </c>
      <c r="J195" s="42" t="s">
        <v>85</v>
      </c>
      <c r="K195" s="42">
        <v>7.006317921E9</v>
      </c>
      <c r="L195" s="63">
        <v>86.0</v>
      </c>
      <c r="M195" s="51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7"/>
    </row>
    <row r="196">
      <c r="A196" s="82">
        <v>46269.0</v>
      </c>
      <c r="B196" s="83">
        <v>46207.0</v>
      </c>
      <c r="C196" s="49" t="s">
        <v>281</v>
      </c>
      <c r="D196" s="49" t="s">
        <v>300</v>
      </c>
      <c r="E196" s="63" t="s">
        <v>301</v>
      </c>
      <c r="F196" s="98">
        <v>6.26040189E8</v>
      </c>
      <c r="G196" s="63">
        <v>54275.0</v>
      </c>
      <c r="H196" s="49">
        <v>1356.0</v>
      </c>
      <c r="I196" s="74" t="s">
        <v>292</v>
      </c>
      <c r="J196" s="42" t="s">
        <v>85</v>
      </c>
      <c r="K196" s="42">
        <v>7.006317921E9</v>
      </c>
      <c r="L196" s="63">
        <v>254.0</v>
      </c>
      <c r="M196" s="51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7"/>
    </row>
    <row r="197">
      <c r="A197" s="82">
        <v>46269.0</v>
      </c>
      <c r="B197" s="83">
        <v>46207.0</v>
      </c>
      <c r="C197" s="49" t="s">
        <v>281</v>
      </c>
      <c r="D197" s="49" t="s">
        <v>302</v>
      </c>
      <c r="E197" s="63" t="s">
        <v>49</v>
      </c>
      <c r="F197" s="98">
        <v>6.26040156E8</v>
      </c>
      <c r="G197" s="63">
        <v>61320.0</v>
      </c>
      <c r="H197" s="49">
        <v>1357.0</v>
      </c>
      <c r="I197" s="74" t="s">
        <v>292</v>
      </c>
      <c r="J197" s="42" t="s">
        <v>85</v>
      </c>
      <c r="K197" s="42">
        <v>7.006317921E9</v>
      </c>
      <c r="L197" s="63">
        <v>160.0</v>
      </c>
      <c r="M197" s="51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7"/>
    </row>
    <row r="198">
      <c r="A198" s="82">
        <v>46269.0</v>
      </c>
      <c r="B198" s="83">
        <v>46207.0</v>
      </c>
      <c r="C198" s="49" t="s">
        <v>281</v>
      </c>
      <c r="D198" s="49" t="s">
        <v>302</v>
      </c>
      <c r="E198" s="63" t="s">
        <v>49</v>
      </c>
      <c r="F198" s="98">
        <v>6.26040185E8</v>
      </c>
      <c r="G198" s="63">
        <v>235891.0</v>
      </c>
      <c r="H198" s="49">
        <v>1358.0</v>
      </c>
      <c r="I198" s="74" t="s">
        <v>292</v>
      </c>
      <c r="J198" s="42" t="s">
        <v>85</v>
      </c>
      <c r="K198" s="42">
        <v>7.006317921E9</v>
      </c>
      <c r="L198" s="63">
        <v>1191.0</v>
      </c>
      <c r="M198" s="51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7"/>
    </row>
    <row r="199">
      <c r="A199" s="82">
        <v>46269.0</v>
      </c>
      <c r="B199" s="83">
        <v>46207.0</v>
      </c>
      <c r="C199" s="49" t="s">
        <v>281</v>
      </c>
      <c r="D199" s="49" t="s">
        <v>303</v>
      </c>
      <c r="E199" s="63" t="s">
        <v>49</v>
      </c>
      <c r="F199" s="98">
        <v>6.26040151E8</v>
      </c>
      <c r="G199" s="63">
        <v>18396.0</v>
      </c>
      <c r="H199" s="49">
        <v>1359.0</v>
      </c>
      <c r="I199" s="74" t="s">
        <v>292</v>
      </c>
      <c r="J199" s="42" t="s">
        <v>85</v>
      </c>
      <c r="K199" s="42">
        <v>7.006317921E9</v>
      </c>
      <c r="L199" s="63">
        <v>48.0</v>
      </c>
      <c r="M199" s="51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7"/>
    </row>
    <row r="200">
      <c r="A200" s="82">
        <v>46269.0</v>
      </c>
      <c r="B200" s="83">
        <v>46207.0</v>
      </c>
      <c r="C200" s="49" t="s">
        <v>281</v>
      </c>
      <c r="D200" s="49" t="s">
        <v>303</v>
      </c>
      <c r="E200" s="63" t="s">
        <v>49</v>
      </c>
      <c r="F200" s="98">
        <v>6.26040159E8</v>
      </c>
      <c r="G200" s="63">
        <v>80678.0</v>
      </c>
      <c r="H200" s="49">
        <v>1360.0</v>
      </c>
      <c r="I200" s="74" t="s">
        <v>292</v>
      </c>
      <c r="J200" s="42" t="s">
        <v>85</v>
      </c>
      <c r="K200" s="42">
        <v>7.006317921E9</v>
      </c>
      <c r="L200" s="63">
        <v>104.0</v>
      </c>
      <c r="M200" s="51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7"/>
    </row>
    <row r="201">
      <c r="A201" s="82">
        <v>46269.0</v>
      </c>
      <c r="B201" s="83">
        <v>46207.0</v>
      </c>
      <c r="C201" s="49" t="s">
        <v>281</v>
      </c>
      <c r="D201" s="49" t="s">
        <v>303</v>
      </c>
      <c r="E201" s="63" t="s">
        <v>49</v>
      </c>
      <c r="F201" s="98">
        <v>6.26040175E8</v>
      </c>
      <c r="G201" s="63">
        <v>216022.0</v>
      </c>
      <c r="H201" s="49">
        <v>1361.0</v>
      </c>
      <c r="I201" s="74" t="s">
        <v>292</v>
      </c>
      <c r="J201" s="42" t="s">
        <v>85</v>
      </c>
      <c r="K201" s="42">
        <v>7.006317921E9</v>
      </c>
      <c r="L201" s="63">
        <v>1001.0</v>
      </c>
      <c r="M201" s="51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7"/>
    </row>
    <row r="202">
      <c r="A202" s="82">
        <v>46269.0</v>
      </c>
      <c r="B202" s="83">
        <v>46207.0</v>
      </c>
      <c r="C202" s="49" t="s">
        <v>281</v>
      </c>
      <c r="D202" s="49" t="s">
        <v>304</v>
      </c>
      <c r="E202" s="63" t="s">
        <v>135</v>
      </c>
      <c r="F202" s="98">
        <v>6.26040153E8</v>
      </c>
      <c r="G202" s="63">
        <v>6132.0</v>
      </c>
      <c r="H202" s="49">
        <v>1362.0</v>
      </c>
      <c r="I202" s="74" t="s">
        <v>292</v>
      </c>
      <c r="J202" s="42" t="s">
        <v>85</v>
      </c>
      <c r="K202" s="42">
        <v>7.006317921E9</v>
      </c>
      <c r="L202" s="63">
        <v>16.0</v>
      </c>
      <c r="M202" s="51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7"/>
    </row>
    <row r="203">
      <c r="A203" s="82">
        <v>46269.0</v>
      </c>
      <c r="B203" s="83">
        <v>46207.0</v>
      </c>
      <c r="C203" s="49" t="s">
        <v>281</v>
      </c>
      <c r="D203" s="49" t="s">
        <v>304</v>
      </c>
      <c r="E203" s="63" t="s">
        <v>135</v>
      </c>
      <c r="F203" s="98">
        <v>6.26040179E8</v>
      </c>
      <c r="G203" s="63">
        <v>29126.0</v>
      </c>
      <c r="H203" s="49">
        <v>1363.0</v>
      </c>
      <c r="I203" s="74" t="s">
        <v>292</v>
      </c>
      <c r="J203" s="42" t="s">
        <v>85</v>
      </c>
      <c r="K203" s="42">
        <v>7.006317921E9</v>
      </c>
      <c r="L203" s="63">
        <v>146.0</v>
      </c>
      <c r="M203" s="51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7"/>
    </row>
    <row r="204">
      <c r="A204" s="82">
        <v>46269.0</v>
      </c>
      <c r="B204" s="83">
        <v>46207.0</v>
      </c>
      <c r="C204" s="49" t="s">
        <v>281</v>
      </c>
      <c r="D204" s="49" t="s">
        <v>305</v>
      </c>
      <c r="E204" s="63" t="s">
        <v>198</v>
      </c>
      <c r="F204" s="98">
        <v>6.26040174E8</v>
      </c>
      <c r="G204" s="63" t="s">
        <v>299</v>
      </c>
      <c r="H204" s="49">
        <v>1365.0</v>
      </c>
      <c r="I204" s="74" t="s">
        <v>292</v>
      </c>
      <c r="J204" s="42" t="s">
        <v>85</v>
      </c>
      <c r="K204" s="42">
        <v>7.006317921E9</v>
      </c>
      <c r="L204" s="63">
        <v>43.0</v>
      </c>
      <c r="M204" s="51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7"/>
    </row>
    <row r="205">
      <c r="A205" s="82">
        <v>46269.0</v>
      </c>
      <c r="B205" s="83">
        <v>46207.0</v>
      </c>
      <c r="C205" s="49" t="s">
        <v>281</v>
      </c>
      <c r="D205" s="49" t="s">
        <v>306</v>
      </c>
      <c r="E205" s="63" t="s">
        <v>198</v>
      </c>
      <c r="F205" s="98">
        <v>6.26040157E8</v>
      </c>
      <c r="G205" s="79">
        <v>24528.0</v>
      </c>
      <c r="H205" s="49">
        <v>1366.0</v>
      </c>
      <c r="I205" s="74" t="s">
        <v>292</v>
      </c>
      <c r="J205" s="42" t="s">
        <v>85</v>
      </c>
      <c r="K205" s="42">
        <v>7.006317921E9</v>
      </c>
      <c r="L205" s="63">
        <v>64.0</v>
      </c>
      <c r="M205" s="51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7"/>
    </row>
    <row r="206">
      <c r="A206" s="82">
        <v>46269.0</v>
      </c>
      <c r="B206" s="83">
        <v>46207.0</v>
      </c>
      <c r="C206" s="49" t="s">
        <v>281</v>
      </c>
      <c r="D206" s="49" t="s">
        <v>306</v>
      </c>
      <c r="E206" s="63" t="s">
        <v>198</v>
      </c>
      <c r="F206" s="98">
        <v>6.26040164E8</v>
      </c>
      <c r="G206" s="79">
        <v>73146.0</v>
      </c>
      <c r="H206" s="49">
        <v>1367.0</v>
      </c>
      <c r="I206" s="74" t="s">
        <v>292</v>
      </c>
      <c r="J206" s="42" t="s">
        <v>85</v>
      </c>
      <c r="K206" s="42">
        <v>7.006317921E9</v>
      </c>
      <c r="L206" s="63">
        <v>84.0</v>
      </c>
      <c r="M206" s="51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7"/>
    </row>
    <row r="207">
      <c r="A207" s="82">
        <v>46269.0</v>
      </c>
      <c r="B207" s="83">
        <v>46207.0</v>
      </c>
      <c r="C207" s="49" t="s">
        <v>281</v>
      </c>
      <c r="D207" s="49" t="s">
        <v>306</v>
      </c>
      <c r="E207" s="63" t="s">
        <v>198</v>
      </c>
      <c r="F207" s="100">
        <v>6.26040182E8</v>
      </c>
      <c r="G207" s="79">
        <v>54870.0</v>
      </c>
      <c r="H207" s="49">
        <v>1368.0</v>
      </c>
      <c r="I207" s="74" t="s">
        <v>292</v>
      </c>
      <c r="J207" s="42" t="s">
        <v>85</v>
      </c>
      <c r="K207" s="42">
        <v>7.006317921E9</v>
      </c>
      <c r="L207" s="63">
        <v>310.0</v>
      </c>
      <c r="M207" s="101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7"/>
    </row>
    <row r="208">
      <c r="A208" s="82">
        <v>46269.0</v>
      </c>
      <c r="B208" s="82">
        <v>46238.0</v>
      </c>
      <c r="C208" s="49" t="s">
        <v>281</v>
      </c>
      <c r="D208" s="49" t="s">
        <v>306</v>
      </c>
      <c r="E208" s="63" t="s">
        <v>198</v>
      </c>
      <c r="F208" s="100">
        <v>6.26040198E8</v>
      </c>
      <c r="G208" s="79">
        <v>8589.0</v>
      </c>
      <c r="H208" s="49">
        <v>1369.0</v>
      </c>
      <c r="I208" s="74" t="s">
        <v>292</v>
      </c>
      <c r="J208" s="42" t="s">
        <v>85</v>
      </c>
      <c r="K208" s="42">
        <v>7.006317921E9</v>
      </c>
      <c r="L208" s="63">
        <v>16.0</v>
      </c>
      <c r="M208" s="51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7"/>
    </row>
    <row r="209">
      <c r="A209" s="82">
        <v>46269.0</v>
      </c>
      <c r="B209" s="83">
        <v>46207.0</v>
      </c>
      <c r="C209" s="49" t="s">
        <v>281</v>
      </c>
      <c r="D209" s="49" t="s">
        <v>307</v>
      </c>
      <c r="E209" s="63" t="s">
        <v>308</v>
      </c>
      <c r="F209" s="98">
        <v>6.26040176E8</v>
      </c>
      <c r="G209" s="79">
        <v>108446.0</v>
      </c>
      <c r="H209" s="49">
        <v>1370.0</v>
      </c>
      <c r="I209" s="74" t="s">
        <v>292</v>
      </c>
      <c r="J209" s="42" t="s">
        <v>85</v>
      </c>
      <c r="K209" s="42">
        <v>7.006317921E9</v>
      </c>
      <c r="L209" s="63">
        <v>542.0</v>
      </c>
      <c r="M209" s="51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7"/>
    </row>
    <row r="210">
      <c r="A210" s="82">
        <v>46269.0</v>
      </c>
      <c r="B210" s="83">
        <v>46207.0</v>
      </c>
      <c r="C210" s="49" t="s">
        <v>281</v>
      </c>
      <c r="D210" s="49" t="s">
        <v>309</v>
      </c>
      <c r="E210" s="63" t="s">
        <v>172</v>
      </c>
      <c r="F210" s="98">
        <v>6.26040188E8</v>
      </c>
      <c r="G210" s="63">
        <v>22870.0</v>
      </c>
      <c r="H210" s="49">
        <v>1371.0</v>
      </c>
      <c r="I210" s="74" t="s">
        <v>292</v>
      </c>
      <c r="J210" s="42" t="s">
        <v>85</v>
      </c>
      <c r="K210" s="42">
        <v>7.006317921E9</v>
      </c>
      <c r="L210" s="63">
        <v>106.0</v>
      </c>
      <c r="M210" s="51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7"/>
    </row>
    <row r="211">
      <c r="A211" s="82">
        <v>46269.0</v>
      </c>
      <c r="B211" s="83">
        <v>46207.0</v>
      </c>
      <c r="C211" s="49" t="s">
        <v>281</v>
      </c>
      <c r="D211" s="49" t="s">
        <v>310</v>
      </c>
      <c r="E211" s="63" t="s">
        <v>172</v>
      </c>
      <c r="F211" s="98">
        <v>6.26040163E8</v>
      </c>
      <c r="G211" s="63">
        <v>14080.0</v>
      </c>
      <c r="H211" s="49">
        <v>1372.0</v>
      </c>
      <c r="I211" s="74" t="s">
        <v>292</v>
      </c>
      <c r="J211" s="42" t="s">
        <v>85</v>
      </c>
      <c r="K211" s="42">
        <v>7.006317921E9</v>
      </c>
      <c r="L211" s="63">
        <v>16.0</v>
      </c>
      <c r="M211" s="51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7"/>
    </row>
    <row r="212">
      <c r="A212" s="82">
        <v>46269.0</v>
      </c>
      <c r="B212" s="83">
        <v>46207.0</v>
      </c>
      <c r="C212" s="49" t="s">
        <v>281</v>
      </c>
      <c r="D212" s="49" t="s">
        <v>310</v>
      </c>
      <c r="E212" s="63" t="s">
        <v>172</v>
      </c>
      <c r="F212" s="98">
        <v>6.26040187E8</v>
      </c>
      <c r="G212" s="63">
        <v>54455.0</v>
      </c>
      <c r="H212" s="49">
        <v>1373.0</v>
      </c>
      <c r="I212" s="74" t="s">
        <v>292</v>
      </c>
      <c r="J212" s="42" t="s">
        <v>85</v>
      </c>
      <c r="K212" s="42">
        <v>7.006317921E9</v>
      </c>
      <c r="L212" s="63">
        <v>256.0</v>
      </c>
      <c r="M212" s="51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7"/>
    </row>
    <row r="213">
      <c r="A213" s="82">
        <v>46269.0</v>
      </c>
      <c r="B213" s="83">
        <v>46207.0</v>
      </c>
      <c r="C213" s="49" t="s">
        <v>281</v>
      </c>
      <c r="D213" s="49" t="s">
        <v>311</v>
      </c>
      <c r="E213" s="63" t="s">
        <v>172</v>
      </c>
      <c r="F213" s="98">
        <v>6.26040171E8</v>
      </c>
      <c r="G213" s="63" t="s">
        <v>299</v>
      </c>
      <c r="H213" s="49">
        <v>1374.0</v>
      </c>
      <c r="I213" s="74" t="s">
        <v>292</v>
      </c>
      <c r="J213" s="42" t="s">
        <v>85</v>
      </c>
      <c r="K213" s="42">
        <v>7.006317921E9</v>
      </c>
      <c r="L213" s="63">
        <v>108.0</v>
      </c>
      <c r="M213" s="51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7"/>
    </row>
    <row r="214">
      <c r="A214" s="82">
        <v>46269.0</v>
      </c>
      <c r="B214" s="83">
        <v>46207.0</v>
      </c>
      <c r="C214" s="49" t="s">
        <v>281</v>
      </c>
      <c r="D214" s="49" t="s">
        <v>312</v>
      </c>
      <c r="E214" s="63" t="s">
        <v>172</v>
      </c>
      <c r="F214" s="98">
        <v>6.26040165E8</v>
      </c>
      <c r="G214" s="63">
        <v>54275.0</v>
      </c>
      <c r="H214" s="49">
        <v>1375.0</v>
      </c>
      <c r="I214" s="74" t="s">
        <v>292</v>
      </c>
      <c r="J214" s="42" t="s">
        <v>85</v>
      </c>
      <c r="K214" s="42">
        <v>7.006317921E9</v>
      </c>
      <c r="L214" s="63">
        <v>256.0</v>
      </c>
      <c r="M214" s="51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7"/>
    </row>
    <row r="215">
      <c r="A215" s="82">
        <v>46269.0</v>
      </c>
      <c r="B215" s="83">
        <v>46207.0</v>
      </c>
      <c r="C215" s="49" t="s">
        <v>281</v>
      </c>
      <c r="D215" s="49" t="s">
        <v>313</v>
      </c>
      <c r="E215" s="63" t="s">
        <v>233</v>
      </c>
      <c r="F215" s="98">
        <v>6.2604019E8</v>
      </c>
      <c r="G215" s="63">
        <v>82638.0</v>
      </c>
      <c r="H215" s="49">
        <v>1376.0</v>
      </c>
      <c r="I215" s="74" t="s">
        <v>292</v>
      </c>
      <c r="J215" s="42" t="s">
        <v>85</v>
      </c>
      <c r="K215" s="42">
        <v>7.006317921E9</v>
      </c>
      <c r="L215" s="63">
        <v>439.0</v>
      </c>
      <c r="M215" s="51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7"/>
    </row>
    <row r="216">
      <c r="A216" s="82">
        <v>46269.0</v>
      </c>
      <c r="B216" s="83">
        <v>46207.0</v>
      </c>
      <c r="C216" s="49" t="s">
        <v>281</v>
      </c>
      <c r="D216" s="49" t="s">
        <v>314</v>
      </c>
      <c r="E216" s="63" t="s">
        <v>233</v>
      </c>
      <c r="F216" s="98">
        <v>6.2604017E8</v>
      </c>
      <c r="G216" s="63">
        <v>13794.0</v>
      </c>
      <c r="H216" s="49">
        <v>1377.0</v>
      </c>
      <c r="I216" s="74" t="s">
        <v>292</v>
      </c>
      <c r="J216" s="42" t="s">
        <v>85</v>
      </c>
      <c r="K216" s="42">
        <v>7.006317921E9</v>
      </c>
      <c r="L216" s="63">
        <v>64.0</v>
      </c>
      <c r="M216" s="51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7"/>
    </row>
    <row r="217">
      <c r="A217" s="82">
        <v>46269.0</v>
      </c>
      <c r="B217" s="62">
        <v>46085.0</v>
      </c>
      <c r="C217" s="63" t="s">
        <v>315</v>
      </c>
      <c r="D217" s="63" t="s">
        <v>316</v>
      </c>
      <c r="E217" s="63" t="s">
        <v>317</v>
      </c>
      <c r="F217" s="63">
        <v>6.26040128E8</v>
      </c>
      <c r="G217" s="63" t="s">
        <v>318</v>
      </c>
      <c r="H217" s="63" t="s">
        <v>29</v>
      </c>
      <c r="I217" s="74" t="s">
        <v>119</v>
      </c>
      <c r="J217" s="42" t="s">
        <v>31</v>
      </c>
      <c r="K217" s="42">
        <v>9.896437186E9</v>
      </c>
      <c r="L217" s="63">
        <v>204.0</v>
      </c>
      <c r="M217" s="51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7"/>
    </row>
    <row r="218">
      <c r="A218" s="82">
        <v>46269.0</v>
      </c>
      <c r="B218" s="17" t="s">
        <v>86</v>
      </c>
      <c r="C218" s="63" t="s">
        <v>315</v>
      </c>
      <c r="D218" s="42" t="s">
        <v>316</v>
      </c>
      <c r="E218" s="17" t="s">
        <v>317</v>
      </c>
      <c r="F218" s="17">
        <v>6.26030519E8</v>
      </c>
      <c r="G218" s="102"/>
      <c r="H218" s="42" t="s">
        <v>29</v>
      </c>
      <c r="I218" s="74" t="s">
        <v>119</v>
      </c>
      <c r="J218" s="42" t="s">
        <v>31</v>
      </c>
      <c r="K218" s="42">
        <v>9.896437186E9</v>
      </c>
      <c r="L218" s="17">
        <v>9767.0</v>
      </c>
      <c r="M218" s="6"/>
      <c r="N218" s="6"/>
      <c r="O218" s="2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7"/>
    </row>
    <row r="219">
      <c r="A219" s="6"/>
      <c r="B219" s="103"/>
      <c r="C219" s="49"/>
      <c r="D219" s="49"/>
      <c r="F219" s="49"/>
      <c r="I219" s="51"/>
      <c r="J219" s="6"/>
      <c r="K219" s="6"/>
      <c r="L219" s="49"/>
      <c r="M219" s="51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7"/>
    </row>
    <row r="220">
      <c r="A220" s="6"/>
      <c r="B220" s="104"/>
      <c r="C220" s="49"/>
      <c r="D220" s="49"/>
      <c r="F220" s="49"/>
      <c r="I220" s="51"/>
      <c r="J220" s="6"/>
      <c r="K220" s="6"/>
      <c r="L220" s="105">
        <f>SUM(L184:L219)</f>
        <v>25941</v>
      </c>
      <c r="M220" s="51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7"/>
    </row>
    <row r="221">
      <c r="A221" s="6"/>
      <c r="B221" s="83"/>
      <c r="C221" s="49"/>
      <c r="D221" s="49"/>
      <c r="F221" s="49"/>
      <c r="I221" s="51"/>
      <c r="J221" s="6"/>
      <c r="K221" s="6"/>
      <c r="L221" s="49"/>
      <c r="M221" s="51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7"/>
    </row>
    <row r="222">
      <c r="A222" s="1">
        <v>46299.0</v>
      </c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4"/>
      <c r="P222" s="2"/>
      <c r="Q222" s="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ht="38.25" customHeight="1">
      <c r="A223" s="90" t="s">
        <v>0</v>
      </c>
      <c r="B223" s="90" t="s">
        <v>1</v>
      </c>
      <c r="C223" s="91" t="s">
        <v>2</v>
      </c>
      <c r="D223" s="91" t="s">
        <v>3</v>
      </c>
      <c r="E223" s="91" t="s">
        <v>4</v>
      </c>
      <c r="F223" s="91" t="s">
        <v>5</v>
      </c>
      <c r="G223" s="91" t="s">
        <v>6</v>
      </c>
      <c r="H223" s="91" t="s">
        <v>7</v>
      </c>
      <c r="I223" s="91" t="s">
        <v>8</v>
      </c>
      <c r="J223" s="91" t="s">
        <v>9</v>
      </c>
      <c r="K223" s="92" t="s">
        <v>10</v>
      </c>
      <c r="L223" s="93" t="s">
        <v>11</v>
      </c>
      <c r="M223" s="91" t="s">
        <v>12</v>
      </c>
      <c r="N223" s="91" t="s">
        <v>13</v>
      </c>
      <c r="O223" s="94" t="s">
        <v>14</v>
      </c>
      <c r="P223" s="95" t="s">
        <v>15</v>
      </c>
      <c r="Q223" s="91" t="s">
        <v>16</v>
      </c>
      <c r="R223" s="96"/>
      <c r="S223" s="96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</row>
    <row r="224">
      <c r="A224" s="82">
        <v>46299.0</v>
      </c>
      <c r="B224" s="83">
        <v>46269.0</v>
      </c>
      <c r="C224" s="49" t="s">
        <v>319</v>
      </c>
      <c r="D224" s="49" t="s">
        <v>320</v>
      </c>
      <c r="E224" s="63" t="s">
        <v>54</v>
      </c>
      <c r="F224" s="98">
        <v>6.26040213E8</v>
      </c>
      <c r="H224" s="63">
        <v>6651.0</v>
      </c>
      <c r="I224" s="20" t="s">
        <v>114</v>
      </c>
      <c r="J224" s="17" t="s">
        <v>56</v>
      </c>
      <c r="K224" s="17">
        <v>9.956958533E9</v>
      </c>
      <c r="L224" s="65">
        <v>4000.0</v>
      </c>
      <c r="M224" s="51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7"/>
    </row>
    <row r="225">
      <c r="A225" s="82">
        <v>46299.0</v>
      </c>
      <c r="B225" s="83">
        <v>46238.0</v>
      </c>
      <c r="C225" s="79" t="s">
        <v>142</v>
      </c>
      <c r="D225" s="49" t="s">
        <v>143</v>
      </c>
      <c r="E225" s="63" t="s">
        <v>54</v>
      </c>
      <c r="F225" s="98">
        <v>6.260402E8</v>
      </c>
      <c r="G225" s="49">
        <v>6.04260107E8</v>
      </c>
      <c r="H225" s="63">
        <v>6652.0</v>
      </c>
      <c r="I225" s="20" t="s">
        <v>148</v>
      </c>
      <c r="J225" s="76" t="s">
        <v>56</v>
      </c>
      <c r="K225" s="17">
        <v>8.799720529E9</v>
      </c>
      <c r="L225" s="65">
        <v>1000.0</v>
      </c>
      <c r="P225" s="51"/>
      <c r="Q225" s="49" t="s">
        <v>110</v>
      </c>
      <c r="R225" s="49"/>
      <c r="S225" s="49" t="s">
        <v>321</v>
      </c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7"/>
    </row>
    <row r="226">
      <c r="A226" s="82">
        <v>46299.0</v>
      </c>
      <c r="B226" s="83">
        <v>46238.0</v>
      </c>
      <c r="C226" s="79" t="s">
        <v>142</v>
      </c>
      <c r="D226" s="49" t="s">
        <v>143</v>
      </c>
      <c r="E226" s="63" t="s">
        <v>54</v>
      </c>
      <c r="F226" s="98">
        <v>6.26040199E8</v>
      </c>
      <c r="G226" s="49">
        <v>6.04260107E8</v>
      </c>
      <c r="H226" s="63">
        <v>6652.0</v>
      </c>
      <c r="I226" s="20" t="s">
        <v>148</v>
      </c>
      <c r="J226" s="76" t="s">
        <v>56</v>
      </c>
      <c r="K226" s="17">
        <v>8.799720529E9</v>
      </c>
      <c r="L226" s="65">
        <v>7000.0</v>
      </c>
      <c r="P226" s="51"/>
      <c r="Q226" s="49" t="s">
        <v>224</v>
      </c>
      <c r="R226" s="49"/>
      <c r="S226" s="49" t="s">
        <v>321</v>
      </c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7"/>
    </row>
    <row r="227">
      <c r="A227" s="82">
        <v>46299.0</v>
      </c>
      <c r="B227" s="83">
        <v>46238.0</v>
      </c>
      <c r="C227" s="79" t="s">
        <v>142</v>
      </c>
      <c r="D227" s="49" t="s">
        <v>143</v>
      </c>
      <c r="E227" s="63" t="s">
        <v>54</v>
      </c>
      <c r="F227" s="98">
        <v>6.26040201E8</v>
      </c>
      <c r="G227" s="49">
        <v>6.04260106E8</v>
      </c>
      <c r="H227" s="63">
        <v>11464.0</v>
      </c>
      <c r="I227" s="74" t="s">
        <v>226</v>
      </c>
      <c r="J227" s="63" t="s">
        <v>222</v>
      </c>
      <c r="K227" s="63">
        <v>9.990961104E9</v>
      </c>
      <c r="L227" s="65">
        <v>10000.0</v>
      </c>
      <c r="P227" s="51"/>
      <c r="Q227" s="49" t="s">
        <v>224</v>
      </c>
      <c r="R227" s="49"/>
      <c r="S227" s="49" t="s">
        <v>321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7"/>
    </row>
    <row r="228">
      <c r="A228" s="82">
        <v>46299.0</v>
      </c>
      <c r="B228" s="17" t="s">
        <v>23</v>
      </c>
      <c r="C228" s="17" t="s">
        <v>322</v>
      </c>
      <c r="D228" s="17" t="s">
        <v>323</v>
      </c>
      <c r="E228" s="17" t="s">
        <v>49</v>
      </c>
      <c r="F228" s="106">
        <v>6.26030602E8</v>
      </c>
      <c r="G228" s="6"/>
      <c r="H228" s="63">
        <v>37835.0</v>
      </c>
      <c r="I228" s="47" t="s">
        <v>324</v>
      </c>
      <c r="J228" s="63" t="s">
        <v>131</v>
      </c>
      <c r="K228" s="42">
        <v>8.219945314E9</v>
      </c>
      <c r="L228" s="21">
        <v>606.0</v>
      </c>
      <c r="M228" s="6"/>
      <c r="N228" s="6"/>
      <c r="O228" s="2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7"/>
    </row>
    <row r="229">
      <c r="A229" s="82">
        <v>46299.0</v>
      </c>
      <c r="B229" s="49" t="s">
        <v>23</v>
      </c>
      <c r="C229" s="49" t="s">
        <v>322</v>
      </c>
      <c r="D229" s="49" t="s">
        <v>325</v>
      </c>
      <c r="E229" s="63" t="s">
        <v>49</v>
      </c>
      <c r="F229" s="98">
        <v>6.26030614E8</v>
      </c>
      <c r="H229" s="63">
        <v>37835.0</v>
      </c>
      <c r="I229" s="74" t="s">
        <v>324</v>
      </c>
      <c r="J229" s="63" t="s">
        <v>131</v>
      </c>
      <c r="K229" s="42">
        <v>8.219945314E9</v>
      </c>
      <c r="L229" s="65">
        <v>15000.0</v>
      </c>
      <c r="M229" s="51"/>
      <c r="N229" s="51"/>
      <c r="O229" s="66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</row>
    <row r="230">
      <c r="A230" s="82">
        <v>46299.0</v>
      </c>
      <c r="B230" s="83">
        <v>46269.0</v>
      </c>
      <c r="C230" s="49" t="s">
        <v>279</v>
      </c>
      <c r="D230" s="49" t="s">
        <v>280</v>
      </c>
      <c r="E230" s="63" t="s">
        <v>49</v>
      </c>
      <c r="F230" s="98">
        <v>6.26040219E8</v>
      </c>
      <c r="H230" s="63">
        <v>12070.0</v>
      </c>
      <c r="I230" s="74" t="s">
        <v>80</v>
      </c>
      <c r="J230" s="63" t="s">
        <v>51</v>
      </c>
      <c r="K230" s="42">
        <v>9.729209416E9</v>
      </c>
      <c r="L230" s="65">
        <v>4000.0</v>
      </c>
      <c r="M230" s="51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7"/>
    </row>
    <row r="231">
      <c r="A231" s="82">
        <v>46299.0</v>
      </c>
      <c r="B231" s="83">
        <v>46269.0</v>
      </c>
      <c r="C231" s="49" t="s">
        <v>279</v>
      </c>
      <c r="D231" s="49" t="s">
        <v>280</v>
      </c>
      <c r="E231" s="63" t="s">
        <v>49</v>
      </c>
      <c r="F231" s="98">
        <v>6.2604022E8</v>
      </c>
      <c r="H231" s="63">
        <v>12070.0</v>
      </c>
      <c r="I231" s="74" t="s">
        <v>80</v>
      </c>
      <c r="J231" s="63" t="s">
        <v>51</v>
      </c>
      <c r="K231" s="42">
        <v>9.729209416E9</v>
      </c>
      <c r="L231" s="65">
        <v>8991.0</v>
      </c>
      <c r="M231" s="51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7"/>
    </row>
    <row r="232">
      <c r="A232" s="82">
        <v>46299.0</v>
      </c>
      <c r="B232" s="83">
        <v>46269.0</v>
      </c>
      <c r="C232" s="49" t="s">
        <v>52</v>
      </c>
      <c r="D232" s="49" t="s">
        <v>326</v>
      </c>
      <c r="E232" s="63" t="s">
        <v>54</v>
      </c>
      <c r="F232" s="98">
        <v>6.26040212E8</v>
      </c>
      <c r="H232" s="63">
        <v>6654.0</v>
      </c>
      <c r="I232" s="20" t="s">
        <v>55</v>
      </c>
      <c r="J232" s="40" t="s">
        <v>56</v>
      </c>
      <c r="K232" s="22">
        <v>9.718858411E9</v>
      </c>
      <c r="L232" s="65">
        <v>7000.0</v>
      </c>
      <c r="M232" s="51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7"/>
    </row>
    <row r="233">
      <c r="A233" s="82">
        <v>46299.0</v>
      </c>
      <c r="B233" s="49" t="s">
        <v>17</v>
      </c>
      <c r="C233" s="25" t="s">
        <v>60</v>
      </c>
      <c r="D233" s="49" t="s">
        <v>268</v>
      </c>
      <c r="E233" s="63" t="s">
        <v>27</v>
      </c>
      <c r="F233" s="98" t="s">
        <v>327</v>
      </c>
      <c r="G233" s="63" t="s">
        <v>328</v>
      </c>
      <c r="H233" s="63">
        <v>6655.0</v>
      </c>
      <c r="I233" s="20" t="s">
        <v>69</v>
      </c>
      <c r="J233" s="23" t="s">
        <v>56</v>
      </c>
      <c r="K233" s="23">
        <v>9.899885211E9</v>
      </c>
      <c r="L233" s="79">
        <v>11506.5</v>
      </c>
      <c r="N233" s="51"/>
      <c r="O233" s="51"/>
      <c r="P233" s="51"/>
      <c r="Q233" s="49" t="s">
        <v>32</v>
      </c>
      <c r="R233" s="49" t="s">
        <v>329</v>
      </c>
      <c r="S233" s="49" t="s">
        <v>330</v>
      </c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7"/>
    </row>
    <row r="234">
      <c r="A234" s="82"/>
      <c r="B234" s="83"/>
      <c r="C234" s="49"/>
      <c r="D234" s="49"/>
      <c r="E234" s="63"/>
      <c r="F234" s="49"/>
      <c r="I234" s="51"/>
      <c r="J234" s="17"/>
      <c r="K234" s="17"/>
      <c r="L234" s="65"/>
      <c r="M234" s="51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7"/>
    </row>
    <row r="235">
      <c r="A235" s="82"/>
      <c r="B235" s="83"/>
      <c r="C235" s="49"/>
      <c r="D235" s="49"/>
      <c r="E235" s="63"/>
      <c r="F235" s="49"/>
      <c r="I235" s="51"/>
      <c r="J235" s="17"/>
      <c r="K235" s="17"/>
      <c r="L235" s="81">
        <f>SUM(L224:L234)</f>
        <v>69103.5</v>
      </c>
      <c r="M235" s="51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7"/>
    </row>
    <row r="236">
      <c r="A236" s="1">
        <v>46330.0</v>
      </c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4"/>
      <c r="P236" s="2"/>
      <c r="Q236" s="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ht="38.25" customHeight="1">
      <c r="A237" s="90" t="s">
        <v>0</v>
      </c>
      <c r="B237" s="90" t="s">
        <v>1</v>
      </c>
      <c r="C237" s="91" t="s">
        <v>2</v>
      </c>
      <c r="D237" s="91" t="s">
        <v>3</v>
      </c>
      <c r="E237" s="91" t="s">
        <v>4</v>
      </c>
      <c r="F237" s="91" t="s">
        <v>5</v>
      </c>
      <c r="G237" s="91" t="s">
        <v>6</v>
      </c>
      <c r="H237" s="91" t="s">
        <v>7</v>
      </c>
      <c r="I237" s="91" t="s">
        <v>8</v>
      </c>
      <c r="J237" s="91" t="s">
        <v>9</v>
      </c>
      <c r="K237" s="92" t="s">
        <v>10</v>
      </c>
      <c r="L237" s="93" t="s">
        <v>11</v>
      </c>
      <c r="M237" s="91" t="s">
        <v>12</v>
      </c>
      <c r="N237" s="91" t="s">
        <v>13</v>
      </c>
      <c r="O237" s="94" t="s">
        <v>14</v>
      </c>
      <c r="P237" s="95" t="s">
        <v>15</v>
      </c>
      <c r="Q237" s="91" t="s">
        <v>16</v>
      </c>
      <c r="R237" s="96"/>
      <c r="S237" s="96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  <c r="BD237" s="97"/>
    </row>
    <row r="238">
      <c r="A238" s="82">
        <v>46330.0</v>
      </c>
      <c r="B238" s="49" t="s">
        <v>331</v>
      </c>
      <c r="C238" s="49" t="s">
        <v>332</v>
      </c>
      <c r="D238" s="49" t="s">
        <v>333</v>
      </c>
      <c r="E238" s="63" t="s">
        <v>103</v>
      </c>
      <c r="F238" s="98">
        <v>6.26040228E8</v>
      </c>
      <c r="H238" s="63">
        <v>260065.0</v>
      </c>
      <c r="I238" s="74" t="s">
        <v>334</v>
      </c>
      <c r="J238" s="63" t="s">
        <v>41</v>
      </c>
      <c r="K238" s="63">
        <v>8.755157971E9</v>
      </c>
      <c r="L238" s="65">
        <v>4000.0</v>
      </c>
      <c r="M238" s="51"/>
      <c r="N238" s="51"/>
      <c r="O238" s="51"/>
      <c r="P238" s="51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7"/>
    </row>
    <row r="239">
      <c r="A239" s="82">
        <v>46330.0</v>
      </c>
      <c r="B239" s="82">
        <v>46330.0</v>
      </c>
      <c r="C239" s="63" t="s">
        <v>335</v>
      </c>
      <c r="D239" s="63" t="s">
        <v>336</v>
      </c>
      <c r="E239" s="63" t="s">
        <v>54</v>
      </c>
      <c r="F239" s="49">
        <v>6.2604023E8</v>
      </c>
      <c r="G239" s="63">
        <v>7.04260297E8</v>
      </c>
      <c r="H239" s="49" t="s">
        <v>75</v>
      </c>
      <c r="I239" s="74" t="s">
        <v>337</v>
      </c>
      <c r="J239" s="63" t="s">
        <v>263</v>
      </c>
      <c r="K239" s="42">
        <v>9.318342055E9</v>
      </c>
      <c r="L239" s="63">
        <v>10001.0</v>
      </c>
      <c r="M239" s="51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7"/>
    </row>
    <row r="240">
      <c r="A240" s="82">
        <v>46330.0</v>
      </c>
      <c r="B240" s="49" t="s">
        <v>338</v>
      </c>
      <c r="C240" s="25" t="s">
        <v>60</v>
      </c>
      <c r="D240" s="49" t="s">
        <v>157</v>
      </c>
      <c r="E240" s="63" t="s">
        <v>27</v>
      </c>
      <c r="F240" s="98">
        <v>6.26030495E8</v>
      </c>
      <c r="G240" s="49">
        <v>7.03260509E8</v>
      </c>
      <c r="H240" s="42">
        <v>260066.0</v>
      </c>
      <c r="I240" s="74" t="s">
        <v>339</v>
      </c>
      <c r="J240" s="42" t="s">
        <v>41</v>
      </c>
      <c r="K240" s="63">
        <v>8.816823773E9</v>
      </c>
      <c r="L240" s="49">
        <v>888.0</v>
      </c>
      <c r="O240" s="51"/>
      <c r="P240" s="51"/>
      <c r="Q240" s="49" t="s">
        <v>32</v>
      </c>
      <c r="R240" s="49" t="s">
        <v>340</v>
      </c>
      <c r="S240" s="49" t="s">
        <v>341</v>
      </c>
      <c r="T240" s="51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7"/>
    </row>
    <row r="241">
      <c r="A241" s="82">
        <v>46330.0</v>
      </c>
      <c r="B241" s="49" t="s">
        <v>338</v>
      </c>
      <c r="C241" s="25" t="s">
        <v>60</v>
      </c>
      <c r="D241" s="49" t="s">
        <v>157</v>
      </c>
      <c r="E241" s="63" t="s">
        <v>27</v>
      </c>
      <c r="F241" s="98">
        <v>6.26030495E8</v>
      </c>
      <c r="G241" s="49">
        <v>7.0326051E8</v>
      </c>
      <c r="H241" s="42">
        <v>260066.0</v>
      </c>
      <c r="I241" s="74" t="s">
        <v>339</v>
      </c>
      <c r="J241" s="42" t="s">
        <v>41</v>
      </c>
      <c r="K241" s="63">
        <v>8.816823773E9</v>
      </c>
      <c r="L241" s="49">
        <v>760.0</v>
      </c>
      <c r="O241" s="51"/>
      <c r="P241" s="51"/>
      <c r="Q241" s="49" t="s">
        <v>32</v>
      </c>
      <c r="R241" s="49" t="s">
        <v>342</v>
      </c>
      <c r="S241" s="49" t="s">
        <v>341</v>
      </c>
      <c r="T241" s="51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7"/>
    </row>
    <row r="242">
      <c r="A242" s="82">
        <v>46330.0</v>
      </c>
      <c r="B242" s="49" t="s">
        <v>338</v>
      </c>
      <c r="C242" s="25" t="s">
        <v>60</v>
      </c>
      <c r="D242" s="49" t="s">
        <v>157</v>
      </c>
      <c r="E242" s="63" t="s">
        <v>27</v>
      </c>
      <c r="F242" s="98">
        <v>6.26030495E8</v>
      </c>
      <c r="G242" s="49">
        <v>7.03260513E8</v>
      </c>
      <c r="H242" s="42">
        <v>260066.0</v>
      </c>
      <c r="I242" s="74" t="s">
        <v>339</v>
      </c>
      <c r="J242" s="42" t="s">
        <v>41</v>
      </c>
      <c r="K242" s="63">
        <v>8.816823773E9</v>
      </c>
      <c r="L242" s="49">
        <v>2244.0</v>
      </c>
      <c r="O242" s="51"/>
      <c r="P242" s="51"/>
      <c r="Q242" s="49" t="s">
        <v>32</v>
      </c>
      <c r="R242" s="49" t="s">
        <v>343</v>
      </c>
      <c r="S242" s="49" t="s">
        <v>341</v>
      </c>
      <c r="T242" s="51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7"/>
    </row>
    <row r="243">
      <c r="A243" s="82">
        <v>46330.0</v>
      </c>
      <c r="B243" s="49" t="s">
        <v>338</v>
      </c>
      <c r="C243" s="25" t="s">
        <v>60</v>
      </c>
      <c r="D243" s="49" t="s">
        <v>157</v>
      </c>
      <c r="E243" s="63" t="s">
        <v>27</v>
      </c>
      <c r="F243" s="98">
        <v>6.26030495E8</v>
      </c>
      <c r="G243" s="49">
        <v>7.03260514E8</v>
      </c>
      <c r="H243" s="42">
        <v>260066.0</v>
      </c>
      <c r="I243" s="74" t="s">
        <v>339</v>
      </c>
      <c r="J243" s="42" t="s">
        <v>41</v>
      </c>
      <c r="K243" s="63">
        <v>8.816823773E9</v>
      </c>
      <c r="L243" s="49">
        <v>3679.0</v>
      </c>
      <c r="O243" s="51"/>
      <c r="P243" s="51"/>
      <c r="Q243" s="49" t="s">
        <v>32</v>
      </c>
      <c r="R243" s="49" t="s">
        <v>344</v>
      </c>
      <c r="S243" s="49" t="s">
        <v>341</v>
      </c>
      <c r="T243" s="51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7"/>
    </row>
    <row r="244">
      <c r="A244" s="82">
        <v>46330.0</v>
      </c>
      <c r="B244" s="49" t="s">
        <v>345</v>
      </c>
      <c r="C244" s="25" t="s">
        <v>60</v>
      </c>
      <c r="D244" s="49" t="s">
        <v>157</v>
      </c>
      <c r="E244" s="63" t="s">
        <v>27</v>
      </c>
      <c r="F244" s="98" t="s">
        <v>346</v>
      </c>
      <c r="G244" s="49">
        <v>7.03260282E8</v>
      </c>
      <c r="H244" s="42">
        <v>260066.0</v>
      </c>
      <c r="I244" s="74" t="s">
        <v>339</v>
      </c>
      <c r="J244" s="42" t="s">
        <v>41</v>
      </c>
      <c r="K244" s="63">
        <v>8.816823773E9</v>
      </c>
      <c r="L244" s="49">
        <v>8271.0</v>
      </c>
      <c r="O244" s="51"/>
      <c r="P244" s="51"/>
      <c r="Q244" s="49" t="s">
        <v>32</v>
      </c>
      <c r="R244" s="49" t="s">
        <v>342</v>
      </c>
      <c r="S244" s="49" t="s">
        <v>341</v>
      </c>
      <c r="T244" s="51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7"/>
    </row>
    <row r="245">
      <c r="A245" s="82">
        <v>46330.0</v>
      </c>
      <c r="B245" s="49" t="s">
        <v>345</v>
      </c>
      <c r="C245" s="25" t="s">
        <v>60</v>
      </c>
      <c r="D245" s="49" t="s">
        <v>157</v>
      </c>
      <c r="E245" s="63" t="s">
        <v>27</v>
      </c>
      <c r="F245" s="98" t="s">
        <v>346</v>
      </c>
      <c r="G245" s="49">
        <v>7.03260284E8</v>
      </c>
      <c r="H245" s="42">
        <v>260066.0</v>
      </c>
      <c r="I245" s="74" t="s">
        <v>339</v>
      </c>
      <c r="J245" s="42" t="s">
        <v>41</v>
      </c>
      <c r="K245" s="63">
        <v>8.816823773E9</v>
      </c>
      <c r="L245" s="49">
        <v>600.0</v>
      </c>
      <c r="O245" s="51"/>
      <c r="P245" s="51"/>
      <c r="Q245" s="49" t="s">
        <v>32</v>
      </c>
      <c r="R245" s="49" t="s">
        <v>344</v>
      </c>
      <c r="S245" s="49" t="s">
        <v>341</v>
      </c>
      <c r="T245" s="51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7"/>
    </row>
    <row r="246">
      <c r="A246" s="82">
        <v>46330.0</v>
      </c>
      <c r="B246" s="49" t="s">
        <v>345</v>
      </c>
      <c r="C246" s="25" t="s">
        <v>60</v>
      </c>
      <c r="D246" s="49" t="s">
        <v>157</v>
      </c>
      <c r="E246" s="63" t="s">
        <v>27</v>
      </c>
      <c r="F246" s="98" t="s">
        <v>346</v>
      </c>
      <c r="G246" s="49">
        <v>7.0326039E8</v>
      </c>
      <c r="H246" s="42">
        <v>260066.0</v>
      </c>
      <c r="I246" s="74" t="s">
        <v>339</v>
      </c>
      <c r="J246" s="42" t="s">
        <v>41</v>
      </c>
      <c r="K246" s="63">
        <v>8.816823773E9</v>
      </c>
      <c r="L246" s="49">
        <v>660.0</v>
      </c>
      <c r="O246" s="51"/>
      <c r="P246" s="51"/>
      <c r="Q246" s="49" t="s">
        <v>32</v>
      </c>
      <c r="R246" s="49" t="s">
        <v>340</v>
      </c>
      <c r="S246" s="49" t="s">
        <v>341</v>
      </c>
      <c r="T246" s="51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7"/>
    </row>
    <row r="247">
      <c r="A247" s="82">
        <v>46330.0</v>
      </c>
      <c r="B247" s="49" t="s">
        <v>345</v>
      </c>
      <c r="C247" s="25" t="s">
        <v>60</v>
      </c>
      <c r="D247" s="49" t="s">
        <v>157</v>
      </c>
      <c r="E247" s="63" t="s">
        <v>27</v>
      </c>
      <c r="F247" s="49" t="s">
        <v>346</v>
      </c>
      <c r="G247" s="49">
        <v>7.03260285E8</v>
      </c>
      <c r="H247" s="42" t="s">
        <v>29</v>
      </c>
      <c r="I247" s="74" t="s">
        <v>96</v>
      </c>
      <c r="J247" s="42" t="s">
        <v>31</v>
      </c>
      <c r="K247" s="42">
        <v>9.779272314E9</v>
      </c>
      <c r="L247" s="49">
        <v>4589.0</v>
      </c>
      <c r="O247" s="51"/>
      <c r="P247" s="51"/>
      <c r="Q247" s="49" t="s">
        <v>32</v>
      </c>
      <c r="R247" s="49" t="s">
        <v>343</v>
      </c>
      <c r="S247" s="49" t="s">
        <v>341</v>
      </c>
      <c r="T247" s="51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7"/>
    </row>
    <row r="248">
      <c r="A248" s="82">
        <v>46330.0</v>
      </c>
      <c r="B248" s="49" t="s">
        <v>345</v>
      </c>
      <c r="C248" s="25" t="s">
        <v>60</v>
      </c>
      <c r="D248" s="49" t="s">
        <v>157</v>
      </c>
      <c r="E248" s="63" t="s">
        <v>27</v>
      </c>
      <c r="F248" s="49" t="s">
        <v>346</v>
      </c>
      <c r="G248" s="49">
        <v>7.03260283E8</v>
      </c>
      <c r="H248" s="42" t="s">
        <v>29</v>
      </c>
      <c r="I248" s="74" t="s">
        <v>96</v>
      </c>
      <c r="J248" s="42" t="s">
        <v>31</v>
      </c>
      <c r="K248" s="42">
        <v>9.779272314E9</v>
      </c>
      <c r="L248" s="49">
        <v>7483.0</v>
      </c>
      <c r="O248" s="51"/>
      <c r="P248" s="51"/>
      <c r="Q248" s="49" t="s">
        <v>32</v>
      </c>
      <c r="R248" s="49" t="s">
        <v>340</v>
      </c>
      <c r="S248" s="49" t="s">
        <v>341</v>
      </c>
      <c r="T248" s="51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7"/>
    </row>
    <row r="249">
      <c r="A249" s="82">
        <v>46330.0</v>
      </c>
      <c r="B249" s="83">
        <v>46238.0</v>
      </c>
      <c r="C249" s="49" t="s">
        <v>347</v>
      </c>
      <c r="D249" s="49" t="s">
        <v>348</v>
      </c>
      <c r="E249" s="63" t="s">
        <v>49</v>
      </c>
      <c r="F249" s="98">
        <v>6.26040205E8</v>
      </c>
      <c r="H249" s="49">
        <v>12071.0</v>
      </c>
      <c r="I249" s="74" t="s">
        <v>349</v>
      </c>
      <c r="J249" s="63" t="s">
        <v>51</v>
      </c>
      <c r="K249" s="63">
        <v>8.950357509E9</v>
      </c>
      <c r="L249" s="65">
        <v>4615.0</v>
      </c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</row>
    <row r="250">
      <c r="A250" s="82">
        <v>46330.0</v>
      </c>
      <c r="B250" s="82">
        <v>46330.0</v>
      </c>
      <c r="C250" s="63" t="s">
        <v>350</v>
      </c>
      <c r="D250" s="63" t="s">
        <v>351</v>
      </c>
      <c r="E250" s="63" t="s">
        <v>49</v>
      </c>
      <c r="F250" s="100">
        <v>6.26040229E8</v>
      </c>
      <c r="H250" s="63">
        <v>12072.0</v>
      </c>
      <c r="I250" s="74" t="s">
        <v>349</v>
      </c>
      <c r="J250" s="63" t="s">
        <v>51</v>
      </c>
      <c r="K250" s="63">
        <v>8.950357509E9</v>
      </c>
      <c r="L250" s="63">
        <v>8100.0</v>
      </c>
      <c r="M250" s="51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7"/>
    </row>
    <row r="251">
      <c r="A251" s="82">
        <v>46330.0</v>
      </c>
      <c r="B251" s="83">
        <v>46299.0</v>
      </c>
      <c r="C251" s="25" t="s">
        <v>60</v>
      </c>
      <c r="D251" s="49" t="s">
        <v>117</v>
      </c>
      <c r="E251" s="63" t="s">
        <v>27</v>
      </c>
      <c r="F251" s="49" t="s">
        <v>352</v>
      </c>
      <c r="G251" s="49">
        <v>7.04260277E8</v>
      </c>
      <c r="H251" s="49" t="s">
        <v>75</v>
      </c>
      <c r="I251" s="74" t="s">
        <v>208</v>
      </c>
      <c r="J251" s="51" t="s">
        <v>31</v>
      </c>
      <c r="K251" s="63">
        <v>9.781016497E9</v>
      </c>
      <c r="L251" s="49">
        <v>951.0</v>
      </c>
      <c r="O251" s="51"/>
      <c r="P251" s="51"/>
      <c r="Q251" s="49" t="s">
        <v>32</v>
      </c>
      <c r="R251" s="49" t="s">
        <v>161</v>
      </c>
      <c r="S251" s="49" t="s">
        <v>353</v>
      </c>
      <c r="T251" s="51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7"/>
    </row>
    <row r="252">
      <c r="A252" s="82">
        <v>46330.0</v>
      </c>
      <c r="B252" s="83">
        <v>46299.0</v>
      </c>
      <c r="C252" s="25" t="s">
        <v>60</v>
      </c>
      <c r="D252" s="49" t="s">
        <v>117</v>
      </c>
      <c r="E252" s="63" t="s">
        <v>27</v>
      </c>
      <c r="F252" s="49" t="s">
        <v>352</v>
      </c>
      <c r="G252" s="49">
        <v>7.04260274E8</v>
      </c>
      <c r="H252" s="49" t="s">
        <v>75</v>
      </c>
      <c r="I252" s="74" t="s">
        <v>208</v>
      </c>
      <c r="J252" s="51" t="s">
        <v>31</v>
      </c>
      <c r="K252" s="63">
        <v>9.781016497E9</v>
      </c>
      <c r="L252" s="49">
        <v>990.0</v>
      </c>
      <c r="O252" s="51"/>
      <c r="P252" s="51"/>
      <c r="Q252" s="49" t="s">
        <v>32</v>
      </c>
      <c r="R252" s="49" t="s">
        <v>354</v>
      </c>
      <c r="S252" s="49" t="s">
        <v>353</v>
      </c>
      <c r="T252" s="51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7"/>
    </row>
    <row r="253">
      <c r="A253" s="82">
        <v>46330.0</v>
      </c>
      <c r="B253" s="83">
        <v>46299.0</v>
      </c>
      <c r="C253" s="25" t="s">
        <v>60</v>
      </c>
      <c r="D253" s="49" t="s">
        <v>117</v>
      </c>
      <c r="E253" s="63" t="s">
        <v>27</v>
      </c>
      <c r="F253" s="49" t="s">
        <v>352</v>
      </c>
      <c r="G253" s="49">
        <v>7.04260275E8</v>
      </c>
      <c r="H253" s="49" t="s">
        <v>75</v>
      </c>
      <c r="I253" s="74" t="s">
        <v>208</v>
      </c>
      <c r="J253" s="51" t="s">
        <v>31</v>
      </c>
      <c r="K253" s="63">
        <v>9.781016497E9</v>
      </c>
      <c r="L253" s="49">
        <v>3485.0</v>
      </c>
      <c r="O253" s="51"/>
      <c r="P253" s="51"/>
      <c r="Q253" s="49" t="s">
        <v>32</v>
      </c>
      <c r="R253" s="49" t="s">
        <v>355</v>
      </c>
      <c r="S253" s="49" t="s">
        <v>353</v>
      </c>
      <c r="T253" s="51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7"/>
    </row>
    <row r="254">
      <c r="A254" s="82">
        <v>46330.0</v>
      </c>
      <c r="B254" s="83">
        <v>46299.0</v>
      </c>
      <c r="C254" s="25" t="s">
        <v>60</v>
      </c>
      <c r="D254" s="49" t="s">
        <v>117</v>
      </c>
      <c r="E254" s="63" t="s">
        <v>27</v>
      </c>
      <c r="F254" s="49" t="s">
        <v>352</v>
      </c>
      <c r="G254" s="49">
        <v>7.04260276E8</v>
      </c>
      <c r="H254" s="49" t="s">
        <v>75</v>
      </c>
      <c r="I254" s="74" t="s">
        <v>208</v>
      </c>
      <c r="J254" s="51" t="s">
        <v>31</v>
      </c>
      <c r="K254" s="63">
        <v>9.781016497E9</v>
      </c>
      <c r="L254" s="49">
        <v>3129.0</v>
      </c>
      <c r="O254" s="51"/>
      <c r="P254" s="51"/>
      <c r="Q254" s="49" t="s">
        <v>32</v>
      </c>
      <c r="R254" s="49" t="s">
        <v>153</v>
      </c>
      <c r="S254" s="49" t="s">
        <v>353</v>
      </c>
      <c r="T254" s="51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7"/>
    </row>
    <row r="255">
      <c r="A255" s="82">
        <v>46330.0</v>
      </c>
      <c r="B255" s="83">
        <v>46299.0</v>
      </c>
      <c r="C255" s="25" t="s">
        <v>60</v>
      </c>
      <c r="D255" s="49" t="s">
        <v>117</v>
      </c>
      <c r="E255" s="63" t="s">
        <v>27</v>
      </c>
      <c r="F255" s="49" t="s">
        <v>352</v>
      </c>
      <c r="G255" s="49">
        <v>7.04260273E8</v>
      </c>
      <c r="H255" s="49" t="s">
        <v>75</v>
      </c>
      <c r="I255" s="74" t="s">
        <v>208</v>
      </c>
      <c r="J255" s="51" t="s">
        <v>31</v>
      </c>
      <c r="K255" s="63">
        <v>9.781016497E9</v>
      </c>
      <c r="L255" s="49">
        <v>480.0</v>
      </c>
      <c r="O255" s="51"/>
      <c r="P255" s="51"/>
      <c r="Q255" s="49" t="s">
        <v>32</v>
      </c>
      <c r="R255" s="49" t="s">
        <v>356</v>
      </c>
      <c r="S255" s="49" t="s">
        <v>353</v>
      </c>
      <c r="T255" s="51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7"/>
    </row>
    <row r="256">
      <c r="A256" s="82">
        <v>46330.0</v>
      </c>
      <c r="B256" s="83">
        <v>46299.0</v>
      </c>
      <c r="C256" s="25" t="s">
        <v>60</v>
      </c>
      <c r="D256" s="49" t="s">
        <v>117</v>
      </c>
      <c r="E256" s="63" t="s">
        <v>27</v>
      </c>
      <c r="F256" s="49" t="s">
        <v>352</v>
      </c>
      <c r="G256" s="49">
        <v>7.04260271E8</v>
      </c>
      <c r="H256" s="49" t="s">
        <v>75</v>
      </c>
      <c r="I256" s="74" t="s">
        <v>208</v>
      </c>
      <c r="J256" s="51" t="s">
        <v>31</v>
      </c>
      <c r="K256" s="63">
        <v>9.781016497E9</v>
      </c>
      <c r="L256" s="49">
        <v>3000.0</v>
      </c>
      <c r="O256" s="51"/>
      <c r="P256" s="51"/>
      <c r="Q256" s="49" t="s">
        <v>32</v>
      </c>
      <c r="R256" s="49" t="s">
        <v>149</v>
      </c>
      <c r="S256" s="49" t="s">
        <v>353</v>
      </c>
      <c r="T256" s="51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7"/>
    </row>
    <row r="257">
      <c r="A257" s="82">
        <v>46330.0</v>
      </c>
      <c r="B257" s="83">
        <v>46299.0</v>
      </c>
      <c r="C257" s="25" t="s">
        <v>60</v>
      </c>
      <c r="D257" s="49" t="s">
        <v>117</v>
      </c>
      <c r="E257" s="63" t="s">
        <v>27</v>
      </c>
      <c r="F257" s="49" t="s">
        <v>352</v>
      </c>
      <c r="G257" s="49">
        <v>7.04260272E8</v>
      </c>
      <c r="H257" s="49" t="s">
        <v>75</v>
      </c>
      <c r="I257" s="74" t="s">
        <v>208</v>
      </c>
      <c r="J257" s="51" t="s">
        <v>31</v>
      </c>
      <c r="K257" s="63">
        <v>9.781016497E9</v>
      </c>
      <c r="L257" s="49">
        <v>479.0</v>
      </c>
      <c r="O257" s="51"/>
      <c r="P257" s="51"/>
      <c r="Q257" s="49" t="s">
        <v>32</v>
      </c>
      <c r="R257" s="49" t="s">
        <v>120</v>
      </c>
      <c r="S257" s="49" t="s">
        <v>353</v>
      </c>
      <c r="T257" s="51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7"/>
    </row>
    <row r="258">
      <c r="A258" s="83"/>
      <c r="B258" s="83"/>
      <c r="C258" s="49"/>
      <c r="E258" s="49"/>
      <c r="G258" s="51"/>
      <c r="H258" s="51"/>
      <c r="I258" s="51"/>
      <c r="J258" s="51"/>
      <c r="K258" s="6"/>
      <c r="L258" s="49"/>
      <c r="M258" s="51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7"/>
    </row>
    <row r="259">
      <c r="A259" s="82"/>
      <c r="B259" s="83"/>
      <c r="C259" s="49"/>
      <c r="D259" s="49"/>
      <c r="E259" s="63"/>
      <c r="F259" s="49"/>
      <c r="I259" s="51"/>
      <c r="J259" s="51"/>
      <c r="K259" s="6"/>
      <c r="L259" s="105">
        <f>SUM(L238:L258)</f>
        <v>68404</v>
      </c>
      <c r="M259" s="51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7"/>
    </row>
    <row r="260">
      <c r="A260" s="82"/>
      <c r="B260" s="83"/>
      <c r="C260" s="49"/>
      <c r="D260" s="49"/>
      <c r="E260" s="63"/>
      <c r="F260" s="49"/>
      <c r="G260" s="107"/>
      <c r="I260" s="51"/>
      <c r="J260" s="51"/>
      <c r="K260" s="6"/>
      <c r="L260" s="49"/>
      <c r="M260" s="51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7"/>
    </row>
    <row r="261">
      <c r="A261" s="108" t="s">
        <v>357</v>
      </c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4"/>
      <c r="P261" s="2"/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ht="38.25" customHeight="1">
      <c r="A262" s="90" t="s">
        <v>0</v>
      </c>
      <c r="B262" s="90" t="s">
        <v>1</v>
      </c>
      <c r="C262" s="91" t="s">
        <v>2</v>
      </c>
      <c r="D262" s="91" t="s">
        <v>3</v>
      </c>
      <c r="E262" s="91" t="s">
        <v>4</v>
      </c>
      <c r="F262" s="91" t="s">
        <v>5</v>
      </c>
      <c r="G262" s="91" t="s">
        <v>6</v>
      </c>
      <c r="H262" s="91" t="s">
        <v>7</v>
      </c>
      <c r="I262" s="91" t="s">
        <v>8</v>
      </c>
      <c r="J262" s="91" t="s">
        <v>9</v>
      </c>
      <c r="K262" s="92" t="s">
        <v>10</v>
      </c>
      <c r="L262" s="93" t="s">
        <v>11</v>
      </c>
      <c r="M262" s="91" t="s">
        <v>12</v>
      </c>
      <c r="N262" s="91" t="s">
        <v>13</v>
      </c>
      <c r="O262" s="94" t="s">
        <v>14</v>
      </c>
      <c r="P262" s="95" t="s">
        <v>15</v>
      </c>
      <c r="Q262" s="91" t="s">
        <v>16</v>
      </c>
      <c r="R262" s="96"/>
      <c r="S262" s="96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</row>
    <row r="263">
      <c r="A263" s="109" t="s">
        <v>357</v>
      </c>
      <c r="B263" s="83">
        <v>46330.0</v>
      </c>
      <c r="C263" s="49" t="s">
        <v>358</v>
      </c>
      <c r="D263" s="49" t="s">
        <v>359</v>
      </c>
      <c r="E263" s="23" t="s">
        <v>54</v>
      </c>
      <c r="F263" s="98">
        <v>6.26040235E8</v>
      </c>
      <c r="H263" s="63">
        <v>6658.0</v>
      </c>
      <c r="I263" s="47" t="s">
        <v>360</v>
      </c>
      <c r="J263" s="72" t="s">
        <v>56</v>
      </c>
      <c r="K263" s="42">
        <v>7.355962044E9</v>
      </c>
      <c r="L263" s="65">
        <v>2772.0</v>
      </c>
      <c r="M263" s="51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7"/>
    </row>
    <row r="264">
      <c r="A264" s="109" t="s">
        <v>357</v>
      </c>
      <c r="B264" s="83">
        <v>46238.0</v>
      </c>
      <c r="C264" s="79" t="s">
        <v>142</v>
      </c>
      <c r="D264" s="49" t="s">
        <v>143</v>
      </c>
      <c r="E264" s="23" t="s">
        <v>54</v>
      </c>
      <c r="F264" s="98">
        <v>6.26040202E8</v>
      </c>
      <c r="G264" s="49">
        <v>6.04260105E8</v>
      </c>
      <c r="H264" s="63">
        <v>6660.0</v>
      </c>
      <c r="I264" s="20" t="s">
        <v>55</v>
      </c>
      <c r="J264" s="40" t="s">
        <v>56</v>
      </c>
      <c r="K264" s="22">
        <v>9.718858411E9</v>
      </c>
      <c r="L264" s="65">
        <v>6000.0</v>
      </c>
      <c r="P264" s="51"/>
      <c r="Q264" s="65" t="s">
        <v>224</v>
      </c>
      <c r="R264" s="65"/>
      <c r="S264" s="65" t="s">
        <v>361</v>
      </c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7"/>
    </row>
    <row r="265">
      <c r="A265" s="109" t="s">
        <v>357</v>
      </c>
      <c r="B265" s="83">
        <v>46330.0</v>
      </c>
      <c r="C265" s="79" t="s">
        <v>142</v>
      </c>
      <c r="D265" s="49" t="s">
        <v>143</v>
      </c>
      <c r="E265" s="23" t="s">
        <v>54</v>
      </c>
      <c r="F265" s="98">
        <v>6.26040232E8</v>
      </c>
      <c r="G265" s="49">
        <v>6.04260108E8</v>
      </c>
      <c r="H265" s="63">
        <v>6660.0</v>
      </c>
      <c r="I265" s="20" t="s">
        <v>55</v>
      </c>
      <c r="J265" s="40" t="s">
        <v>56</v>
      </c>
      <c r="K265" s="22">
        <v>9.718858411E9</v>
      </c>
      <c r="L265" s="65">
        <v>1526.0</v>
      </c>
      <c r="P265" s="51"/>
      <c r="Q265" s="65" t="s">
        <v>224</v>
      </c>
      <c r="R265" s="65"/>
      <c r="S265" s="65" t="s">
        <v>361</v>
      </c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7"/>
    </row>
    <row r="266">
      <c r="A266" s="109" t="s">
        <v>357</v>
      </c>
      <c r="B266" s="83">
        <v>46207.0</v>
      </c>
      <c r="C266" s="49" t="s">
        <v>281</v>
      </c>
      <c r="D266" s="49" t="s">
        <v>362</v>
      </c>
      <c r="E266" s="63" t="s">
        <v>54</v>
      </c>
      <c r="F266" s="98">
        <v>6.26040152E8</v>
      </c>
      <c r="H266" s="63">
        <v>6661.0</v>
      </c>
      <c r="I266" s="20" t="s">
        <v>114</v>
      </c>
      <c r="J266" s="17" t="s">
        <v>56</v>
      </c>
      <c r="K266" s="17">
        <v>9.956958533E9</v>
      </c>
      <c r="L266" s="49">
        <f>16*9</f>
        <v>144</v>
      </c>
      <c r="M266" s="51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7"/>
    </row>
    <row r="267">
      <c r="A267" s="109" t="s">
        <v>357</v>
      </c>
      <c r="B267" s="83">
        <v>46207.0</v>
      </c>
      <c r="C267" s="49" t="s">
        <v>281</v>
      </c>
      <c r="D267" s="49" t="s">
        <v>362</v>
      </c>
      <c r="E267" s="63" t="s">
        <v>54</v>
      </c>
      <c r="F267" s="98">
        <v>6.2604016E8</v>
      </c>
      <c r="H267" s="63">
        <v>6661.0</v>
      </c>
      <c r="I267" s="20" t="s">
        <v>114</v>
      </c>
      <c r="J267" s="17" t="s">
        <v>56</v>
      </c>
      <c r="K267" s="17">
        <v>9.956958533E9</v>
      </c>
      <c r="L267" s="63">
        <v>16.0</v>
      </c>
      <c r="M267" s="51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7"/>
    </row>
    <row r="268">
      <c r="A268" s="109" t="s">
        <v>357</v>
      </c>
      <c r="B268" s="83">
        <v>46207.0</v>
      </c>
      <c r="C268" s="49" t="s">
        <v>281</v>
      </c>
      <c r="D268" s="49" t="s">
        <v>362</v>
      </c>
      <c r="E268" s="63" t="s">
        <v>54</v>
      </c>
      <c r="F268" s="98">
        <v>6.26040177E8</v>
      </c>
      <c r="H268" s="63">
        <v>6661.0</v>
      </c>
      <c r="I268" s="20" t="s">
        <v>114</v>
      </c>
      <c r="J268" s="17" t="s">
        <v>56</v>
      </c>
      <c r="K268" s="17">
        <v>9.956958533E9</v>
      </c>
      <c r="L268" s="63">
        <v>3542.0</v>
      </c>
      <c r="M268" s="51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7"/>
    </row>
    <row r="269">
      <c r="A269" s="109" t="s">
        <v>357</v>
      </c>
      <c r="B269" s="83">
        <v>46207.0</v>
      </c>
      <c r="C269" s="49" t="s">
        <v>281</v>
      </c>
      <c r="D269" s="49" t="s">
        <v>363</v>
      </c>
      <c r="E269" s="63" t="s">
        <v>27</v>
      </c>
      <c r="F269" s="49">
        <v>6.26040178E8</v>
      </c>
      <c r="G269" s="107"/>
      <c r="H269" s="63">
        <v>1446.0</v>
      </c>
      <c r="I269" s="74" t="s">
        <v>364</v>
      </c>
      <c r="J269" s="49" t="s">
        <v>85</v>
      </c>
      <c r="K269" s="42">
        <v>9.01538955E9</v>
      </c>
      <c r="L269" s="63">
        <v>255.0</v>
      </c>
      <c r="M269" s="51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7"/>
    </row>
    <row r="270">
      <c r="A270" s="49" t="s">
        <v>357</v>
      </c>
      <c r="B270" s="83">
        <v>46207.0</v>
      </c>
      <c r="C270" s="49" t="s">
        <v>281</v>
      </c>
      <c r="D270" s="49" t="s">
        <v>365</v>
      </c>
      <c r="E270" s="49" t="s">
        <v>135</v>
      </c>
      <c r="F270" s="49">
        <v>6.26040173E8</v>
      </c>
      <c r="G270" s="49"/>
      <c r="H270" s="49">
        <v>1447.0</v>
      </c>
      <c r="I270" s="50" t="s">
        <v>364</v>
      </c>
      <c r="J270" s="49" t="s">
        <v>85</v>
      </c>
      <c r="K270" s="49">
        <v>9.01538955E9</v>
      </c>
      <c r="L270" s="49">
        <v>148.0</v>
      </c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</row>
    <row r="271">
      <c r="A271" s="49" t="s">
        <v>357</v>
      </c>
      <c r="B271" s="49" t="s">
        <v>357</v>
      </c>
      <c r="C271" s="49" t="s">
        <v>366</v>
      </c>
      <c r="D271" s="49" t="s">
        <v>367</v>
      </c>
      <c r="E271" s="49" t="s">
        <v>54</v>
      </c>
      <c r="F271" s="98">
        <v>6.26040241E8</v>
      </c>
      <c r="G271" s="49"/>
      <c r="H271" s="63">
        <v>6664.0</v>
      </c>
      <c r="I271" s="50" t="s">
        <v>127</v>
      </c>
      <c r="J271" s="49" t="s">
        <v>56</v>
      </c>
      <c r="K271" s="49">
        <v>8.826871385E9</v>
      </c>
      <c r="L271" s="49">
        <v>32.0</v>
      </c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</row>
    <row r="272">
      <c r="A272" s="49" t="s">
        <v>357</v>
      </c>
      <c r="B272" s="49" t="s">
        <v>357</v>
      </c>
      <c r="C272" s="49" t="s">
        <v>366</v>
      </c>
      <c r="D272" s="49" t="s">
        <v>367</v>
      </c>
      <c r="E272" s="49" t="s">
        <v>54</v>
      </c>
      <c r="F272" s="98">
        <v>6.2604024E8</v>
      </c>
      <c r="G272" s="49"/>
      <c r="H272" s="63">
        <v>6664.0</v>
      </c>
      <c r="I272" s="50" t="s">
        <v>127</v>
      </c>
      <c r="J272" s="49" t="s">
        <v>56</v>
      </c>
      <c r="K272" s="49">
        <v>8.826871385E9</v>
      </c>
      <c r="L272" s="49">
        <v>175.0</v>
      </c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</row>
    <row r="273">
      <c r="A273" s="109" t="s">
        <v>357</v>
      </c>
      <c r="B273" s="109" t="s">
        <v>357</v>
      </c>
      <c r="C273" s="49" t="s">
        <v>368</v>
      </c>
      <c r="D273" s="49" t="s">
        <v>369</v>
      </c>
      <c r="E273" s="63" t="s">
        <v>27</v>
      </c>
      <c r="F273" s="98">
        <v>6.26040239E8</v>
      </c>
      <c r="H273" s="63">
        <v>6665.0</v>
      </c>
      <c r="I273" s="47" t="s">
        <v>360</v>
      </c>
      <c r="J273" s="72" t="s">
        <v>56</v>
      </c>
      <c r="K273" s="42">
        <v>7.355962044E9</v>
      </c>
      <c r="L273" s="49">
        <v>2200.0</v>
      </c>
    </row>
    <row r="275">
      <c r="A275" s="109"/>
      <c r="B275" s="83"/>
      <c r="C275" s="49"/>
      <c r="D275" s="49"/>
      <c r="E275" s="63"/>
      <c r="F275" s="49"/>
      <c r="I275" s="51"/>
      <c r="J275" s="51"/>
      <c r="K275" s="6"/>
      <c r="L275" s="63"/>
      <c r="M275" s="51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7"/>
    </row>
    <row r="276">
      <c r="A276" s="109"/>
      <c r="B276" s="83"/>
      <c r="C276" s="49"/>
      <c r="D276" s="49"/>
      <c r="E276" s="63"/>
      <c r="F276" s="49"/>
      <c r="I276" s="51"/>
      <c r="J276" s="51"/>
      <c r="K276" s="6"/>
      <c r="L276" s="110">
        <f>SUM(L263:L275)</f>
        <v>16810</v>
      </c>
      <c r="M276" s="51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7"/>
    </row>
    <row r="277">
      <c r="A277" s="109"/>
      <c r="B277" s="83"/>
      <c r="C277" s="49"/>
      <c r="D277" s="49"/>
      <c r="E277" s="63"/>
      <c r="F277" s="49"/>
      <c r="I277" s="51"/>
      <c r="J277" s="51"/>
      <c r="K277" s="6"/>
      <c r="L277" s="63"/>
      <c r="M277" s="51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7"/>
    </row>
    <row r="278">
      <c r="A278" s="109"/>
      <c r="B278" s="83"/>
      <c r="C278" s="49"/>
      <c r="D278" s="49"/>
      <c r="E278" s="63"/>
      <c r="F278" s="49"/>
      <c r="I278" s="51"/>
      <c r="J278" s="51"/>
      <c r="K278" s="6"/>
      <c r="L278" s="63"/>
      <c r="M278" s="51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7"/>
    </row>
    <row r="279">
      <c r="A279" s="108" t="s">
        <v>370</v>
      </c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4"/>
      <c r="P279" s="2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ht="38.25" customHeight="1">
      <c r="A280" s="90" t="s">
        <v>0</v>
      </c>
      <c r="B280" s="90" t="s">
        <v>1</v>
      </c>
      <c r="C280" s="91" t="s">
        <v>2</v>
      </c>
      <c r="D280" s="91" t="s">
        <v>3</v>
      </c>
      <c r="E280" s="91" t="s">
        <v>4</v>
      </c>
      <c r="F280" s="91" t="s">
        <v>5</v>
      </c>
      <c r="G280" s="91" t="s">
        <v>6</v>
      </c>
      <c r="H280" s="91" t="s">
        <v>7</v>
      </c>
      <c r="I280" s="91" t="s">
        <v>8</v>
      </c>
      <c r="J280" s="91" t="s">
        <v>9</v>
      </c>
      <c r="K280" s="92" t="s">
        <v>10</v>
      </c>
      <c r="L280" s="93" t="s">
        <v>11</v>
      </c>
      <c r="M280" s="91" t="s">
        <v>12</v>
      </c>
      <c r="N280" s="91" t="s">
        <v>13</v>
      </c>
      <c r="O280" s="94" t="s">
        <v>14</v>
      </c>
      <c r="P280" s="95" t="s">
        <v>15</v>
      </c>
      <c r="Q280" s="91" t="s">
        <v>16</v>
      </c>
      <c r="R280" s="96"/>
      <c r="S280" s="96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</row>
    <row r="281">
      <c r="A281" s="109" t="s">
        <v>370</v>
      </c>
      <c r="B281" s="49" t="s">
        <v>357</v>
      </c>
      <c r="C281" s="49" t="s">
        <v>122</v>
      </c>
      <c r="D281" s="49" t="s">
        <v>371</v>
      </c>
      <c r="E281" s="48" t="s">
        <v>27</v>
      </c>
      <c r="F281" s="98">
        <v>6.2604025E8</v>
      </c>
      <c r="H281" s="49">
        <v>3139.0</v>
      </c>
      <c r="I281" s="20" t="s">
        <v>372</v>
      </c>
      <c r="J281" s="72" t="s">
        <v>373</v>
      </c>
      <c r="K281" s="72">
        <v>8.684015172E9</v>
      </c>
      <c r="L281" s="65">
        <v>1000.0</v>
      </c>
      <c r="M281" s="35"/>
      <c r="N281" s="65"/>
      <c r="O281" s="65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7"/>
    </row>
    <row r="282">
      <c r="A282" s="109" t="s">
        <v>370</v>
      </c>
      <c r="B282" s="83">
        <v>46330.0</v>
      </c>
      <c r="C282" s="49" t="s">
        <v>168</v>
      </c>
      <c r="D282" s="49" t="s">
        <v>169</v>
      </c>
      <c r="E282" s="23" t="s">
        <v>27</v>
      </c>
      <c r="F282" s="98">
        <v>6.26040238E8</v>
      </c>
      <c r="G282" s="49">
        <v>6.04260111E8</v>
      </c>
      <c r="H282" s="49">
        <v>6669.0</v>
      </c>
      <c r="I282" s="20" t="s">
        <v>69</v>
      </c>
      <c r="J282" s="23" t="s">
        <v>56</v>
      </c>
      <c r="K282" s="23">
        <v>9.899885211E9</v>
      </c>
      <c r="L282" s="65">
        <v>10181.0</v>
      </c>
      <c r="P282" s="51"/>
      <c r="Q282" s="65" t="s">
        <v>110</v>
      </c>
      <c r="R282" s="65"/>
      <c r="S282" s="65" t="s">
        <v>361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7"/>
    </row>
    <row r="283">
      <c r="A283" s="109" t="s">
        <v>370</v>
      </c>
      <c r="B283" s="49" t="s">
        <v>357</v>
      </c>
      <c r="C283" s="49" t="s">
        <v>168</v>
      </c>
      <c r="D283" s="49" t="s">
        <v>169</v>
      </c>
      <c r="E283" s="23" t="s">
        <v>27</v>
      </c>
      <c r="F283" s="98">
        <v>6.26040242E8</v>
      </c>
      <c r="G283" s="49">
        <v>6.04260112E8</v>
      </c>
      <c r="H283" s="49">
        <v>6669.0</v>
      </c>
      <c r="I283" s="20" t="s">
        <v>69</v>
      </c>
      <c r="J283" s="23" t="s">
        <v>56</v>
      </c>
      <c r="K283" s="23">
        <v>9.899885211E9</v>
      </c>
      <c r="L283" s="63">
        <v>0.0</v>
      </c>
      <c r="M283" s="65" t="s">
        <v>374</v>
      </c>
      <c r="P283" s="51"/>
      <c r="Q283" s="65" t="s">
        <v>110</v>
      </c>
      <c r="R283" s="65"/>
      <c r="S283" s="65" t="s">
        <v>361</v>
      </c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7"/>
    </row>
    <row r="284">
      <c r="A284" s="109" t="s">
        <v>370</v>
      </c>
      <c r="B284" s="49" t="s">
        <v>357</v>
      </c>
      <c r="C284" s="49" t="s">
        <v>112</v>
      </c>
      <c r="D284" s="49" t="s">
        <v>375</v>
      </c>
      <c r="E284" s="23" t="s">
        <v>54</v>
      </c>
      <c r="F284" s="98">
        <v>6.26040253E8</v>
      </c>
      <c r="H284" s="63">
        <v>6668.0</v>
      </c>
      <c r="I284" s="47" t="s">
        <v>360</v>
      </c>
      <c r="J284" s="72" t="s">
        <v>56</v>
      </c>
      <c r="K284" s="42">
        <v>7.355962044E9</v>
      </c>
      <c r="L284" s="65">
        <v>720.0</v>
      </c>
      <c r="M284" s="35"/>
      <c r="N284" s="65"/>
      <c r="O284" s="65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7"/>
    </row>
    <row r="285">
      <c r="A285" s="109"/>
      <c r="B285" s="83"/>
      <c r="C285" s="49"/>
      <c r="D285" s="49"/>
      <c r="E285" s="63"/>
      <c r="F285" s="49"/>
      <c r="I285" s="51"/>
      <c r="J285" s="51"/>
      <c r="K285" s="6"/>
      <c r="L285" s="63"/>
      <c r="M285" s="51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7"/>
    </row>
    <row r="286">
      <c r="A286" s="109"/>
      <c r="B286" s="83"/>
      <c r="C286" s="49"/>
      <c r="D286" s="49"/>
      <c r="E286" s="63"/>
      <c r="F286" s="49"/>
      <c r="I286" s="51"/>
      <c r="J286" s="51"/>
      <c r="K286" s="6"/>
      <c r="L286" s="110">
        <f>SUM(L281:L285)</f>
        <v>11901</v>
      </c>
      <c r="M286" s="51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7"/>
    </row>
    <row r="287">
      <c r="A287" s="109"/>
      <c r="B287" s="83"/>
      <c r="C287" s="49"/>
      <c r="D287" s="49"/>
      <c r="E287" s="63"/>
      <c r="F287" s="49"/>
      <c r="I287" s="51"/>
      <c r="J287" s="51"/>
      <c r="K287" s="6"/>
      <c r="L287" s="63"/>
      <c r="M287" s="51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7"/>
    </row>
    <row r="288">
      <c r="A288" s="108" t="s">
        <v>376</v>
      </c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4"/>
      <c r="P288" s="2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ht="38.25" customHeight="1">
      <c r="A289" s="90" t="s">
        <v>0</v>
      </c>
      <c r="B289" s="90" t="s">
        <v>1</v>
      </c>
      <c r="C289" s="91" t="s">
        <v>2</v>
      </c>
      <c r="D289" s="91" t="s">
        <v>3</v>
      </c>
      <c r="E289" s="91" t="s">
        <v>4</v>
      </c>
      <c r="F289" s="91" t="s">
        <v>5</v>
      </c>
      <c r="G289" s="91" t="s">
        <v>6</v>
      </c>
      <c r="H289" s="91" t="s">
        <v>7</v>
      </c>
      <c r="I289" s="91" t="s">
        <v>8</v>
      </c>
      <c r="J289" s="91" t="s">
        <v>9</v>
      </c>
      <c r="K289" s="92" t="s">
        <v>10</v>
      </c>
      <c r="L289" s="93" t="s">
        <v>11</v>
      </c>
      <c r="M289" s="91" t="s">
        <v>12</v>
      </c>
      <c r="N289" s="91" t="s">
        <v>13</v>
      </c>
      <c r="O289" s="94" t="s">
        <v>14</v>
      </c>
      <c r="P289" s="95" t="s">
        <v>15</v>
      </c>
      <c r="Q289" s="91" t="s">
        <v>16</v>
      </c>
      <c r="R289" s="96"/>
      <c r="S289" s="96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  <c r="BD289" s="97"/>
    </row>
    <row r="290">
      <c r="A290" s="49" t="s">
        <v>376</v>
      </c>
      <c r="B290" s="49" t="s">
        <v>370</v>
      </c>
      <c r="C290" s="49" t="s">
        <v>122</v>
      </c>
      <c r="D290" s="49" t="s">
        <v>377</v>
      </c>
      <c r="E290" s="23" t="s">
        <v>54</v>
      </c>
      <c r="F290" s="98">
        <v>6.26040254E8</v>
      </c>
      <c r="H290" s="111">
        <v>6671.0</v>
      </c>
      <c r="I290" s="20" t="s">
        <v>127</v>
      </c>
      <c r="J290" s="72" t="s">
        <v>56</v>
      </c>
      <c r="K290" s="72">
        <v>8.826871385E9</v>
      </c>
      <c r="L290" s="49">
        <v>3000.0</v>
      </c>
      <c r="M290" s="51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7"/>
    </row>
    <row r="291">
      <c r="A291" s="49" t="s">
        <v>376</v>
      </c>
      <c r="B291" s="49" t="s">
        <v>370</v>
      </c>
      <c r="C291" s="49" t="s">
        <v>122</v>
      </c>
      <c r="D291" s="49" t="s">
        <v>377</v>
      </c>
      <c r="E291" s="23" t="s">
        <v>54</v>
      </c>
      <c r="F291" s="98">
        <v>6.26040258E8</v>
      </c>
      <c r="H291" s="111">
        <v>6671.0</v>
      </c>
      <c r="I291" s="20" t="s">
        <v>127</v>
      </c>
      <c r="J291" s="72" t="s">
        <v>56</v>
      </c>
      <c r="K291" s="72">
        <v>8.826871385E9</v>
      </c>
      <c r="L291" s="49">
        <v>1625.0</v>
      </c>
      <c r="M291" s="51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7"/>
    </row>
    <row r="292">
      <c r="A292" s="49" t="s">
        <v>376</v>
      </c>
      <c r="B292" s="83">
        <v>46207.0</v>
      </c>
      <c r="C292" s="49" t="s">
        <v>281</v>
      </c>
      <c r="D292" s="49" t="s">
        <v>378</v>
      </c>
      <c r="E292" s="63" t="s">
        <v>27</v>
      </c>
      <c r="F292" s="49">
        <v>6.26040168E8</v>
      </c>
      <c r="H292" s="112">
        <v>8510.0</v>
      </c>
      <c r="I292" s="20" t="s">
        <v>63</v>
      </c>
      <c r="J292" s="48" t="s">
        <v>379</v>
      </c>
      <c r="K292" s="23">
        <v>9.779272314E9</v>
      </c>
      <c r="L292" s="63">
        <v>2984.0</v>
      </c>
      <c r="M292" s="51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7"/>
    </row>
    <row r="293">
      <c r="A293" s="49" t="s">
        <v>376</v>
      </c>
      <c r="B293" s="63" t="s">
        <v>357</v>
      </c>
      <c r="C293" s="63" t="s">
        <v>380</v>
      </c>
      <c r="D293" s="63" t="s">
        <v>381</v>
      </c>
      <c r="E293" s="48" t="s">
        <v>382</v>
      </c>
      <c r="F293" s="63">
        <v>6.26040233E8</v>
      </c>
      <c r="G293" s="63">
        <v>6.0426011E8</v>
      </c>
      <c r="H293" s="113">
        <v>1.2500241779E10</v>
      </c>
      <c r="I293" s="74" t="s">
        <v>383</v>
      </c>
      <c r="J293" s="63" t="s">
        <v>384</v>
      </c>
      <c r="K293" s="42">
        <v>9.852422816E9</v>
      </c>
      <c r="L293" s="63">
        <v>2000.0</v>
      </c>
      <c r="M293" s="51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7"/>
    </row>
    <row r="294">
      <c r="A294" s="109"/>
      <c r="B294" s="49"/>
      <c r="C294" s="49"/>
      <c r="D294" s="49"/>
      <c r="E294" s="48"/>
      <c r="F294" s="49"/>
      <c r="I294" s="51"/>
      <c r="J294" s="51"/>
      <c r="K294" s="6"/>
      <c r="L294" s="49"/>
      <c r="M294" s="51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7"/>
    </row>
    <row r="295">
      <c r="A295" s="109"/>
      <c r="B295" s="49"/>
      <c r="C295" s="49"/>
      <c r="D295" s="49"/>
      <c r="E295" s="48"/>
      <c r="F295" s="49"/>
      <c r="I295" s="51"/>
      <c r="J295" s="51"/>
      <c r="K295" s="6"/>
      <c r="L295" s="86">
        <f>SUM(L290:L294)</f>
        <v>9609</v>
      </c>
      <c r="M295" s="51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7"/>
    </row>
    <row r="296">
      <c r="A296" s="108" t="s">
        <v>385</v>
      </c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4"/>
      <c r="P296" s="2"/>
      <c r="Q296" s="5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ht="38.25" customHeight="1">
      <c r="A297" s="90" t="s">
        <v>0</v>
      </c>
      <c r="B297" s="90" t="s">
        <v>1</v>
      </c>
      <c r="C297" s="91" t="s">
        <v>2</v>
      </c>
      <c r="D297" s="91" t="s">
        <v>3</v>
      </c>
      <c r="E297" s="91" t="s">
        <v>4</v>
      </c>
      <c r="F297" s="91" t="s">
        <v>5</v>
      </c>
      <c r="G297" s="91" t="s">
        <v>6</v>
      </c>
      <c r="H297" s="91" t="s">
        <v>7</v>
      </c>
      <c r="I297" s="91" t="s">
        <v>8</v>
      </c>
      <c r="J297" s="91" t="s">
        <v>9</v>
      </c>
      <c r="K297" s="92" t="s">
        <v>10</v>
      </c>
      <c r="L297" s="93" t="s">
        <v>11</v>
      </c>
      <c r="M297" s="91" t="s">
        <v>12</v>
      </c>
      <c r="N297" s="91" t="s">
        <v>13</v>
      </c>
      <c r="O297" s="94" t="s">
        <v>14</v>
      </c>
      <c r="P297" s="95" t="s">
        <v>15</v>
      </c>
      <c r="Q297" s="91" t="s">
        <v>16</v>
      </c>
      <c r="R297" s="96"/>
      <c r="S297" s="96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</row>
    <row r="298">
      <c r="A298" s="63" t="s">
        <v>385</v>
      </c>
      <c r="B298" s="49" t="s">
        <v>376</v>
      </c>
      <c r="C298" s="49" t="s">
        <v>213</v>
      </c>
      <c r="D298" s="49" t="s">
        <v>386</v>
      </c>
      <c r="E298" s="63" t="s">
        <v>27</v>
      </c>
      <c r="F298" s="98">
        <v>6.26040268E8</v>
      </c>
      <c r="H298" s="114">
        <v>6674.0</v>
      </c>
      <c r="I298" s="20" t="s">
        <v>127</v>
      </c>
      <c r="J298" s="72" t="s">
        <v>56</v>
      </c>
      <c r="K298" s="72">
        <v>8.826871385E9</v>
      </c>
      <c r="L298" s="49">
        <v>4625.0</v>
      </c>
      <c r="M298" s="51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7"/>
    </row>
    <row r="299">
      <c r="A299" s="63" t="s">
        <v>385</v>
      </c>
      <c r="B299" s="49" t="s">
        <v>23</v>
      </c>
      <c r="C299" s="49" t="s">
        <v>387</v>
      </c>
      <c r="D299" s="63" t="s">
        <v>388</v>
      </c>
      <c r="E299" s="63" t="s">
        <v>49</v>
      </c>
      <c r="F299" s="98">
        <v>6.26030612E8</v>
      </c>
      <c r="H299" s="111">
        <v>12073.0</v>
      </c>
      <c r="I299" s="70" t="s">
        <v>389</v>
      </c>
      <c r="J299" s="23" t="s">
        <v>51</v>
      </c>
      <c r="K299" s="69">
        <v>9.813490253E9</v>
      </c>
      <c r="L299" s="65">
        <v>12.0</v>
      </c>
      <c r="M299" s="51"/>
      <c r="N299" s="51"/>
      <c r="O299" s="66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</row>
    <row r="300">
      <c r="A300" s="63" t="s">
        <v>385</v>
      </c>
      <c r="B300" s="49" t="s">
        <v>376</v>
      </c>
      <c r="C300" s="49" t="s">
        <v>387</v>
      </c>
      <c r="D300" s="63" t="s">
        <v>390</v>
      </c>
      <c r="E300" s="63" t="s">
        <v>49</v>
      </c>
      <c r="F300" s="98">
        <v>6.26040266E8</v>
      </c>
      <c r="H300" s="111">
        <v>12073.0</v>
      </c>
      <c r="I300" s="70" t="s">
        <v>389</v>
      </c>
      <c r="J300" s="23" t="s">
        <v>51</v>
      </c>
      <c r="K300" s="69">
        <v>9.813490253E9</v>
      </c>
      <c r="L300" s="49">
        <v>6892.0</v>
      </c>
      <c r="M300" s="51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7"/>
    </row>
    <row r="301">
      <c r="A301" s="63" t="s">
        <v>385</v>
      </c>
      <c r="B301" s="49" t="s">
        <v>376</v>
      </c>
      <c r="C301" s="49" t="s">
        <v>387</v>
      </c>
      <c r="D301" s="63" t="s">
        <v>390</v>
      </c>
      <c r="E301" s="63" t="s">
        <v>49</v>
      </c>
      <c r="F301" s="98">
        <v>6.26040267E8</v>
      </c>
      <c r="H301" s="111">
        <v>12073.0</v>
      </c>
      <c r="I301" s="70" t="s">
        <v>389</v>
      </c>
      <c r="J301" s="23" t="s">
        <v>51</v>
      </c>
      <c r="K301" s="69">
        <v>9.813490253E9</v>
      </c>
      <c r="L301" s="49">
        <v>72.0</v>
      </c>
      <c r="M301" s="51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7"/>
    </row>
    <row r="302">
      <c r="A302" s="63" t="s">
        <v>385</v>
      </c>
      <c r="B302" s="49" t="s">
        <v>376</v>
      </c>
      <c r="C302" s="49" t="s">
        <v>387</v>
      </c>
      <c r="D302" s="63" t="s">
        <v>390</v>
      </c>
      <c r="E302" s="63" t="s">
        <v>49</v>
      </c>
      <c r="F302" s="98">
        <v>6.26040271E8</v>
      </c>
      <c r="H302" s="111">
        <v>12073.0</v>
      </c>
      <c r="I302" s="70" t="s">
        <v>389</v>
      </c>
      <c r="J302" s="23" t="s">
        <v>51</v>
      </c>
      <c r="K302" s="69">
        <v>9.813490253E9</v>
      </c>
      <c r="L302" s="49">
        <v>84.0</v>
      </c>
      <c r="M302" s="51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7"/>
    </row>
    <row r="303">
      <c r="A303" s="63" t="s">
        <v>385</v>
      </c>
      <c r="B303" s="49" t="s">
        <v>376</v>
      </c>
      <c r="C303" s="49" t="s">
        <v>387</v>
      </c>
      <c r="D303" s="63" t="s">
        <v>390</v>
      </c>
      <c r="E303" s="63" t="s">
        <v>49</v>
      </c>
      <c r="F303" s="98">
        <v>6.26040272E8</v>
      </c>
      <c r="H303" s="111">
        <v>12073.0</v>
      </c>
      <c r="I303" s="70" t="s">
        <v>389</v>
      </c>
      <c r="J303" s="23" t="s">
        <v>51</v>
      </c>
      <c r="K303" s="69">
        <v>9.813490253E9</v>
      </c>
      <c r="L303" s="49">
        <v>0.0</v>
      </c>
      <c r="M303" s="51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7"/>
    </row>
    <row r="304">
      <c r="A304" s="63" t="s">
        <v>385</v>
      </c>
      <c r="B304" s="22">
        <v>46176.0</v>
      </c>
      <c r="C304" s="23" t="s">
        <v>185</v>
      </c>
      <c r="D304" s="23" t="s">
        <v>391</v>
      </c>
      <c r="E304" s="23" t="s">
        <v>54</v>
      </c>
      <c r="F304" s="98">
        <v>6.26030119E8</v>
      </c>
      <c r="G304" s="24"/>
      <c r="H304" s="114">
        <v>6673.0</v>
      </c>
      <c r="I304" s="20" t="s">
        <v>55</v>
      </c>
      <c r="J304" s="40" t="s">
        <v>56</v>
      </c>
      <c r="K304" s="22">
        <v>9.718858411E9</v>
      </c>
      <c r="L304" s="115">
        <v>0.0</v>
      </c>
      <c r="M304" s="116" t="s">
        <v>278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7"/>
    </row>
    <row r="305">
      <c r="A305" s="63" t="s">
        <v>385</v>
      </c>
      <c r="B305" s="49" t="s">
        <v>376</v>
      </c>
      <c r="C305" s="49" t="s">
        <v>185</v>
      </c>
      <c r="D305" s="49" t="s">
        <v>392</v>
      </c>
      <c r="E305" s="63" t="s">
        <v>54</v>
      </c>
      <c r="F305" s="98">
        <v>6.26040282E8</v>
      </c>
      <c r="H305" s="114">
        <v>6673.0</v>
      </c>
      <c r="I305" s="20" t="s">
        <v>55</v>
      </c>
      <c r="J305" s="40" t="s">
        <v>56</v>
      </c>
      <c r="K305" s="22">
        <v>9.718858411E9</v>
      </c>
      <c r="L305" s="49">
        <v>5960.0</v>
      </c>
      <c r="M305" s="51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7"/>
    </row>
    <row r="306">
      <c r="A306" s="63" t="s">
        <v>385</v>
      </c>
      <c r="B306" s="49" t="s">
        <v>376</v>
      </c>
      <c r="C306" s="63" t="s">
        <v>393</v>
      </c>
      <c r="D306" s="49" t="s">
        <v>394</v>
      </c>
      <c r="E306" s="63" t="s">
        <v>49</v>
      </c>
      <c r="F306" s="87">
        <v>6.26040264E8</v>
      </c>
      <c r="G306" s="63">
        <v>1.0</v>
      </c>
      <c r="H306" s="114" t="s">
        <v>75</v>
      </c>
      <c r="I306" s="74" t="s">
        <v>208</v>
      </c>
      <c r="J306" s="51" t="s">
        <v>31</v>
      </c>
      <c r="K306" s="63">
        <v>9.781016497E9</v>
      </c>
      <c r="L306" s="49">
        <v>783.0</v>
      </c>
      <c r="M306" s="51"/>
      <c r="N306" s="51"/>
      <c r="O306" s="51"/>
      <c r="P306" s="51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7"/>
    </row>
    <row r="307">
      <c r="A307" s="63" t="s">
        <v>385</v>
      </c>
      <c r="B307" s="83">
        <v>46330.0</v>
      </c>
      <c r="C307" s="63" t="s">
        <v>393</v>
      </c>
      <c r="D307" s="49" t="s">
        <v>395</v>
      </c>
      <c r="E307" s="63" t="s">
        <v>49</v>
      </c>
      <c r="F307" s="87">
        <v>6.26040231E8</v>
      </c>
      <c r="G307" s="63">
        <v>1.0</v>
      </c>
      <c r="H307" s="114" t="s">
        <v>75</v>
      </c>
      <c r="I307" s="74" t="s">
        <v>208</v>
      </c>
      <c r="J307" s="51" t="s">
        <v>31</v>
      </c>
      <c r="K307" s="63">
        <v>9.781016497E9</v>
      </c>
      <c r="L307" s="63">
        <v>2718.0</v>
      </c>
      <c r="M307" s="65"/>
      <c r="N307" s="65"/>
      <c r="O307" s="65"/>
      <c r="P307" s="51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7"/>
    </row>
    <row r="308">
      <c r="A308" s="63" t="s">
        <v>385</v>
      </c>
      <c r="B308" s="49" t="s">
        <v>376</v>
      </c>
      <c r="C308" s="49" t="s">
        <v>57</v>
      </c>
      <c r="D308" s="49" t="s">
        <v>58</v>
      </c>
      <c r="E308" s="63" t="s">
        <v>49</v>
      </c>
      <c r="F308" s="87">
        <v>6.26040274E8</v>
      </c>
      <c r="G308" s="63" t="s">
        <v>396</v>
      </c>
      <c r="H308" s="114" t="s">
        <v>75</v>
      </c>
      <c r="I308" s="74" t="s">
        <v>208</v>
      </c>
      <c r="J308" s="51" t="s">
        <v>31</v>
      </c>
      <c r="K308" s="63">
        <v>9.781016497E9</v>
      </c>
      <c r="L308" s="49">
        <v>10456.0</v>
      </c>
      <c r="M308" s="51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7"/>
    </row>
    <row r="309">
      <c r="A309" s="63" t="s">
        <v>385</v>
      </c>
      <c r="B309" s="49" t="s">
        <v>376</v>
      </c>
      <c r="C309" s="49" t="s">
        <v>57</v>
      </c>
      <c r="D309" s="49" t="s">
        <v>58</v>
      </c>
      <c r="E309" s="63" t="s">
        <v>49</v>
      </c>
      <c r="F309" s="87">
        <v>6.26040275E8</v>
      </c>
      <c r="G309" s="63" t="s">
        <v>397</v>
      </c>
      <c r="H309" s="114" t="s">
        <v>75</v>
      </c>
      <c r="I309" s="74" t="s">
        <v>208</v>
      </c>
      <c r="J309" s="51" t="s">
        <v>31</v>
      </c>
      <c r="K309" s="63">
        <v>9.781016497E9</v>
      </c>
      <c r="L309" s="49">
        <v>150.0</v>
      </c>
      <c r="M309" s="51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7"/>
    </row>
    <row r="310">
      <c r="A310" s="63" t="s">
        <v>385</v>
      </c>
      <c r="B310" s="49" t="s">
        <v>376</v>
      </c>
      <c r="C310" s="49" t="s">
        <v>57</v>
      </c>
      <c r="D310" s="49" t="s">
        <v>58</v>
      </c>
      <c r="E310" s="63" t="s">
        <v>49</v>
      </c>
      <c r="F310" s="87">
        <v>6.26040285E8</v>
      </c>
      <c r="G310" s="63"/>
      <c r="H310" s="114" t="s">
        <v>75</v>
      </c>
      <c r="I310" s="74" t="s">
        <v>208</v>
      </c>
      <c r="J310" s="51" t="s">
        <v>31</v>
      </c>
      <c r="K310" s="63">
        <v>9.781016497E9</v>
      </c>
      <c r="L310" s="79">
        <v>1224.0</v>
      </c>
      <c r="M310" s="51"/>
      <c r="N310" s="51"/>
      <c r="O310" s="66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</row>
    <row r="311">
      <c r="A311" s="63" t="s">
        <v>385</v>
      </c>
      <c r="B311" s="49" t="s">
        <v>376</v>
      </c>
      <c r="C311" s="49" t="s">
        <v>57</v>
      </c>
      <c r="D311" s="49" t="s">
        <v>58</v>
      </c>
      <c r="E311" s="63" t="s">
        <v>49</v>
      </c>
      <c r="F311" s="87">
        <v>6.2604028E8</v>
      </c>
      <c r="G311" s="63">
        <v>2.0</v>
      </c>
      <c r="H311" s="114" t="s">
        <v>75</v>
      </c>
      <c r="I311" s="74" t="s">
        <v>208</v>
      </c>
      <c r="J311" s="51" t="s">
        <v>31</v>
      </c>
      <c r="K311" s="63">
        <v>9.781016497E9</v>
      </c>
      <c r="L311" s="49">
        <v>0.0</v>
      </c>
      <c r="M311" s="51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7"/>
    </row>
    <row r="312">
      <c r="A312" s="63" t="s">
        <v>385</v>
      </c>
      <c r="B312" s="63" t="s">
        <v>385</v>
      </c>
      <c r="C312" s="49" t="s">
        <v>57</v>
      </c>
      <c r="D312" s="49" t="s">
        <v>58</v>
      </c>
      <c r="E312" s="63" t="s">
        <v>49</v>
      </c>
      <c r="F312" s="87">
        <v>6.26040291E8</v>
      </c>
      <c r="G312" s="49"/>
      <c r="H312" s="114" t="s">
        <v>75</v>
      </c>
      <c r="I312" s="74" t="s">
        <v>208</v>
      </c>
      <c r="J312" s="51" t="s">
        <v>31</v>
      </c>
      <c r="K312" s="63">
        <v>9.781016497E9</v>
      </c>
      <c r="L312" s="79">
        <v>792.0</v>
      </c>
      <c r="N312" s="51"/>
      <c r="O312" s="51"/>
      <c r="P312" s="51"/>
      <c r="Q312" s="49"/>
      <c r="R312" s="49"/>
      <c r="S312" s="49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7"/>
    </row>
    <row r="313">
      <c r="A313" s="63" t="s">
        <v>385</v>
      </c>
      <c r="B313" s="49" t="s">
        <v>376</v>
      </c>
      <c r="C313" s="63" t="s">
        <v>398</v>
      </c>
      <c r="D313" s="63" t="s">
        <v>399</v>
      </c>
      <c r="E313" s="63" t="s">
        <v>317</v>
      </c>
      <c r="F313" s="87">
        <v>6.26040286E8</v>
      </c>
      <c r="G313" s="49"/>
      <c r="H313" s="114" t="s">
        <v>75</v>
      </c>
      <c r="I313" s="74" t="s">
        <v>208</v>
      </c>
      <c r="J313" s="51" t="s">
        <v>31</v>
      </c>
      <c r="K313" s="63">
        <v>9.781016497E9</v>
      </c>
      <c r="L313" s="79">
        <v>5.0</v>
      </c>
      <c r="N313" s="51"/>
      <c r="O313" s="51"/>
      <c r="P313" s="51"/>
      <c r="Q313" s="49"/>
      <c r="R313" s="49"/>
      <c r="S313" s="49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7"/>
    </row>
    <row r="314">
      <c r="A314" s="63" t="s">
        <v>385</v>
      </c>
      <c r="B314" s="49" t="s">
        <v>376</v>
      </c>
      <c r="C314" s="63" t="s">
        <v>398</v>
      </c>
      <c r="D314" s="63" t="s">
        <v>399</v>
      </c>
      <c r="E314" s="63" t="s">
        <v>317</v>
      </c>
      <c r="F314" s="87">
        <v>6.26040287E8</v>
      </c>
      <c r="G314" s="49"/>
      <c r="H314" s="114" t="s">
        <v>75</v>
      </c>
      <c r="I314" s="74" t="s">
        <v>208</v>
      </c>
      <c r="J314" s="51" t="s">
        <v>31</v>
      </c>
      <c r="K314" s="63">
        <v>9.781016497E9</v>
      </c>
      <c r="L314" s="79">
        <v>3.0</v>
      </c>
      <c r="N314" s="51"/>
      <c r="O314" s="51"/>
      <c r="P314" s="51"/>
      <c r="Q314" s="49"/>
      <c r="R314" s="49"/>
      <c r="S314" s="49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7"/>
    </row>
    <row r="315">
      <c r="A315" s="63" t="s">
        <v>385</v>
      </c>
      <c r="B315" s="23" t="s">
        <v>23</v>
      </c>
      <c r="C315" s="23" t="s">
        <v>400</v>
      </c>
      <c r="D315" s="23" t="s">
        <v>401</v>
      </c>
      <c r="E315" s="23" t="s">
        <v>308</v>
      </c>
      <c r="F315" s="98">
        <v>6.2603061E8</v>
      </c>
      <c r="G315" s="24"/>
      <c r="H315" s="112">
        <v>11465.0</v>
      </c>
      <c r="I315" s="74" t="s">
        <v>402</v>
      </c>
      <c r="J315" s="42" t="s">
        <v>222</v>
      </c>
      <c r="K315" s="42">
        <v>9.23501253E9</v>
      </c>
      <c r="L315" s="25">
        <v>992.0</v>
      </c>
      <c r="M315" s="117"/>
      <c r="N315" s="24"/>
      <c r="O315" s="26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7"/>
    </row>
    <row r="316">
      <c r="A316" s="63" t="s">
        <v>385</v>
      </c>
      <c r="B316" s="49" t="s">
        <v>376</v>
      </c>
      <c r="C316" s="49" t="s">
        <v>403</v>
      </c>
      <c r="D316" s="49" t="s">
        <v>404</v>
      </c>
      <c r="E316" s="63" t="s">
        <v>308</v>
      </c>
      <c r="F316" s="98">
        <v>6.26040283E8</v>
      </c>
      <c r="H316" s="111">
        <v>11466.0</v>
      </c>
      <c r="I316" s="74" t="s">
        <v>402</v>
      </c>
      <c r="J316" s="42" t="s">
        <v>222</v>
      </c>
      <c r="K316" s="42">
        <v>9.23501253E9</v>
      </c>
      <c r="L316" s="65">
        <v>8571.0</v>
      </c>
      <c r="M316" s="11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7"/>
    </row>
    <row r="317">
      <c r="A317" s="63" t="s">
        <v>385</v>
      </c>
      <c r="B317" s="49" t="s">
        <v>376</v>
      </c>
      <c r="C317" s="49" t="s">
        <v>403</v>
      </c>
      <c r="D317" s="49" t="s">
        <v>404</v>
      </c>
      <c r="E317" s="63" t="s">
        <v>308</v>
      </c>
      <c r="F317" s="98">
        <v>6.26040284E8</v>
      </c>
      <c r="H317" s="111">
        <v>11466.0</v>
      </c>
      <c r="I317" s="74" t="s">
        <v>402</v>
      </c>
      <c r="J317" s="42" t="s">
        <v>222</v>
      </c>
      <c r="K317" s="42">
        <v>9.23501253E9</v>
      </c>
      <c r="L317" s="65">
        <v>2016.0</v>
      </c>
      <c r="M317" s="11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7"/>
    </row>
    <row r="318">
      <c r="A318" s="63" t="s">
        <v>385</v>
      </c>
      <c r="B318" s="63" t="s">
        <v>385</v>
      </c>
      <c r="C318" s="63" t="s">
        <v>405</v>
      </c>
      <c r="D318" s="63" t="s">
        <v>406</v>
      </c>
      <c r="E318" s="63" t="s">
        <v>308</v>
      </c>
      <c r="F318" s="63">
        <v>6.26040299E8</v>
      </c>
      <c r="G318" s="63"/>
      <c r="H318" s="111">
        <v>11466.0</v>
      </c>
      <c r="I318" s="74" t="s">
        <v>402</v>
      </c>
      <c r="J318" s="42" t="s">
        <v>222</v>
      </c>
      <c r="K318" s="42">
        <v>9.23501253E9</v>
      </c>
      <c r="L318" s="79">
        <v>21.0</v>
      </c>
      <c r="N318" s="51"/>
      <c r="O318" s="51"/>
      <c r="P318" s="51"/>
      <c r="Q318" s="49"/>
      <c r="R318" s="49"/>
      <c r="S318" s="49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7"/>
    </row>
    <row r="319">
      <c r="A319" s="63" t="s">
        <v>385</v>
      </c>
      <c r="B319" s="83">
        <v>46269.0</v>
      </c>
      <c r="C319" s="49" t="s">
        <v>18</v>
      </c>
      <c r="D319" s="49" t="s">
        <v>146</v>
      </c>
      <c r="E319" s="63" t="s">
        <v>20</v>
      </c>
      <c r="F319" s="98">
        <v>6.26040215E8</v>
      </c>
      <c r="G319" s="63">
        <v>6.04260117E8</v>
      </c>
      <c r="H319" s="111">
        <v>1765.0</v>
      </c>
      <c r="I319" s="74" t="s">
        <v>407</v>
      </c>
      <c r="J319" s="63" t="s">
        <v>408</v>
      </c>
      <c r="K319" s="63">
        <v>6.266563086E9</v>
      </c>
      <c r="L319" s="65">
        <v>11110.0</v>
      </c>
      <c r="N319" s="51"/>
      <c r="O319" s="51"/>
      <c r="P319" s="51"/>
      <c r="Q319" s="49" t="s">
        <v>224</v>
      </c>
      <c r="R319" s="49"/>
      <c r="S319" s="49" t="s">
        <v>409</v>
      </c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7"/>
    </row>
    <row r="320">
      <c r="A320" s="63" t="s">
        <v>385</v>
      </c>
      <c r="B320" s="83">
        <v>46269.0</v>
      </c>
      <c r="C320" s="49" t="s">
        <v>18</v>
      </c>
      <c r="D320" s="49" t="s">
        <v>146</v>
      </c>
      <c r="E320" s="63" t="s">
        <v>20</v>
      </c>
      <c r="F320" s="98">
        <v>6.26040216E8</v>
      </c>
      <c r="G320" s="63">
        <v>6.04260117E8</v>
      </c>
      <c r="H320" s="111">
        <v>1765.0</v>
      </c>
      <c r="I320" s="74" t="s">
        <v>407</v>
      </c>
      <c r="J320" s="63" t="s">
        <v>408</v>
      </c>
      <c r="K320" s="63">
        <v>6.266563086E9</v>
      </c>
      <c r="L320" s="65">
        <v>3040.0</v>
      </c>
      <c r="N320" s="51"/>
      <c r="O320" s="51"/>
      <c r="P320" s="51"/>
      <c r="Q320" s="49" t="s">
        <v>224</v>
      </c>
      <c r="R320" s="49"/>
      <c r="S320" s="49" t="s">
        <v>409</v>
      </c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7"/>
    </row>
    <row r="321">
      <c r="A321" s="63" t="s">
        <v>385</v>
      </c>
      <c r="B321" s="49" t="s">
        <v>357</v>
      </c>
      <c r="C321" s="49" t="s">
        <v>18</v>
      </c>
      <c r="D321" s="49" t="s">
        <v>146</v>
      </c>
      <c r="E321" s="63" t="s">
        <v>20</v>
      </c>
      <c r="F321" s="98">
        <v>6.26040243E8</v>
      </c>
      <c r="G321" s="63">
        <v>6.04260117E8</v>
      </c>
      <c r="H321" s="111">
        <v>1765.0</v>
      </c>
      <c r="I321" s="74" t="s">
        <v>407</v>
      </c>
      <c r="J321" s="63" t="s">
        <v>408</v>
      </c>
      <c r="K321" s="63">
        <v>6.266563086E9</v>
      </c>
      <c r="L321" s="65">
        <v>500.0</v>
      </c>
      <c r="N321" s="51"/>
      <c r="O321" s="51"/>
      <c r="P321" s="51"/>
      <c r="Q321" s="49" t="s">
        <v>224</v>
      </c>
      <c r="R321" s="49"/>
      <c r="S321" s="49" t="s">
        <v>409</v>
      </c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7"/>
    </row>
    <row r="322">
      <c r="A322" s="63" t="s">
        <v>385</v>
      </c>
      <c r="B322" s="49" t="s">
        <v>357</v>
      </c>
      <c r="C322" s="49" t="s">
        <v>18</v>
      </c>
      <c r="D322" s="49" t="s">
        <v>146</v>
      </c>
      <c r="E322" s="63" t="s">
        <v>20</v>
      </c>
      <c r="F322" s="98">
        <v>6.26040244E8</v>
      </c>
      <c r="G322" s="63">
        <v>6.04260117E8</v>
      </c>
      <c r="H322" s="111">
        <v>1765.0</v>
      </c>
      <c r="I322" s="74" t="s">
        <v>407</v>
      </c>
      <c r="J322" s="63" t="s">
        <v>408</v>
      </c>
      <c r="K322" s="63">
        <v>6.266563086E9</v>
      </c>
      <c r="L322" s="65">
        <v>200.0</v>
      </c>
      <c r="N322" s="51"/>
      <c r="O322" s="51"/>
      <c r="P322" s="51"/>
      <c r="Q322" s="49" t="s">
        <v>224</v>
      </c>
      <c r="R322" s="49"/>
      <c r="S322" s="49" t="s">
        <v>409</v>
      </c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7"/>
    </row>
    <row r="323">
      <c r="A323" s="63" t="s">
        <v>385</v>
      </c>
      <c r="B323" s="49" t="s">
        <v>357</v>
      </c>
      <c r="C323" s="49" t="s">
        <v>18</v>
      </c>
      <c r="D323" s="49" t="s">
        <v>146</v>
      </c>
      <c r="E323" s="63" t="s">
        <v>20</v>
      </c>
      <c r="F323" s="98">
        <v>6.26040249E8</v>
      </c>
      <c r="G323" s="49">
        <v>6.04260114E8</v>
      </c>
      <c r="H323" s="111">
        <v>1765.0</v>
      </c>
      <c r="I323" s="74" t="s">
        <v>407</v>
      </c>
      <c r="J323" s="63" t="s">
        <v>408</v>
      </c>
      <c r="K323" s="63">
        <v>6.266563086E9</v>
      </c>
      <c r="L323" s="65">
        <v>750.0</v>
      </c>
      <c r="N323" s="51"/>
      <c r="O323" s="51"/>
      <c r="P323" s="51"/>
      <c r="Q323" s="49" t="s">
        <v>224</v>
      </c>
      <c r="R323" s="49"/>
      <c r="S323" s="49" t="s">
        <v>409</v>
      </c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7"/>
    </row>
    <row r="324">
      <c r="A324" s="63" t="s">
        <v>385</v>
      </c>
      <c r="B324" s="49" t="s">
        <v>376</v>
      </c>
      <c r="C324" s="49" t="s">
        <v>18</v>
      </c>
      <c r="D324" s="49" t="s">
        <v>146</v>
      </c>
      <c r="E324" s="63" t="s">
        <v>20</v>
      </c>
      <c r="F324" s="98">
        <v>6.26040276E8</v>
      </c>
      <c r="G324" s="63">
        <v>6.04260115E8</v>
      </c>
      <c r="H324" s="111">
        <v>1765.0</v>
      </c>
      <c r="I324" s="74" t="s">
        <v>407</v>
      </c>
      <c r="J324" s="63" t="s">
        <v>408</v>
      </c>
      <c r="K324" s="63">
        <v>6.266563086E9</v>
      </c>
      <c r="L324" s="65">
        <v>1000.0</v>
      </c>
      <c r="N324" s="51"/>
      <c r="O324" s="51"/>
      <c r="P324" s="51"/>
      <c r="Q324" s="49" t="s">
        <v>224</v>
      </c>
      <c r="R324" s="49"/>
      <c r="S324" s="49" t="s">
        <v>409</v>
      </c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7"/>
    </row>
    <row r="325">
      <c r="A325" s="63" t="s">
        <v>385</v>
      </c>
      <c r="B325" s="49" t="s">
        <v>370</v>
      </c>
      <c r="C325" s="49" t="s">
        <v>81</v>
      </c>
      <c r="D325" s="49" t="s">
        <v>410</v>
      </c>
      <c r="E325" s="48" t="s">
        <v>83</v>
      </c>
      <c r="F325" s="98">
        <v>6.26040261E8</v>
      </c>
      <c r="H325" s="111">
        <v>1495.0</v>
      </c>
      <c r="I325" s="74" t="s">
        <v>411</v>
      </c>
      <c r="J325" s="63" t="s">
        <v>412</v>
      </c>
      <c r="K325" s="63">
        <v>9.813110648E9</v>
      </c>
      <c r="L325" s="49">
        <v>600.0</v>
      </c>
      <c r="M325" s="24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7"/>
    </row>
    <row r="326">
      <c r="A326" s="63" t="s">
        <v>385</v>
      </c>
      <c r="B326" s="63" t="s">
        <v>385</v>
      </c>
      <c r="C326" s="49" t="s">
        <v>81</v>
      </c>
      <c r="D326" s="49" t="s">
        <v>410</v>
      </c>
      <c r="E326" s="48" t="s">
        <v>83</v>
      </c>
      <c r="F326" s="98">
        <v>6.26040292E8</v>
      </c>
      <c r="G326" s="49"/>
      <c r="H326" s="111">
        <v>1495.0</v>
      </c>
      <c r="I326" s="74" t="s">
        <v>411</v>
      </c>
      <c r="J326" s="63" t="s">
        <v>412</v>
      </c>
      <c r="K326" s="63">
        <v>9.813110648E9</v>
      </c>
      <c r="L326" s="79">
        <v>120.0</v>
      </c>
      <c r="M326" s="24"/>
      <c r="N326" s="51"/>
      <c r="O326" s="51"/>
      <c r="P326" s="51"/>
      <c r="Q326" s="49"/>
      <c r="R326" s="49"/>
      <c r="S326" s="49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7"/>
    </row>
    <row r="327">
      <c r="A327" s="6"/>
      <c r="B327" s="83"/>
      <c r="C327" s="49"/>
      <c r="D327" s="49"/>
      <c r="F327" s="49"/>
      <c r="I327" s="51"/>
      <c r="J327" s="6"/>
      <c r="K327" s="6"/>
      <c r="L327" s="49"/>
      <c r="M327" s="51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7"/>
    </row>
    <row r="328">
      <c r="A328" s="6"/>
      <c r="B328" s="83"/>
      <c r="C328" s="49"/>
      <c r="D328" s="49"/>
      <c r="F328" s="49"/>
      <c r="I328" s="51"/>
      <c r="J328" s="6"/>
      <c r="K328" s="118" t="s">
        <v>278</v>
      </c>
      <c r="L328" s="119">
        <f>SUM(L298:L327)</f>
        <v>62696</v>
      </c>
      <c r="M328" s="51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7"/>
    </row>
    <row r="329">
      <c r="A329" s="108" t="s">
        <v>413</v>
      </c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4"/>
      <c r="P329" s="2"/>
      <c r="Q329" s="5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 ht="38.25" customHeight="1">
      <c r="A330" s="90" t="s">
        <v>0</v>
      </c>
      <c r="B330" s="90" t="s">
        <v>1</v>
      </c>
      <c r="C330" s="91" t="s">
        <v>2</v>
      </c>
      <c r="D330" s="91" t="s">
        <v>3</v>
      </c>
      <c r="E330" s="91" t="s">
        <v>4</v>
      </c>
      <c r="F330" s="91" t="s">
        <v>5</v>
      </c>
      <c r="G330" s="91" t="s">
        <v>6</v>
      </c>
      <c r="H330" s="91" t="s">
        <v>7</v>
      </c>
      <c r="I330" s="91" t="s">
        <v>8</v>
      </c>
      <c r="J330" s="91" t="s">
        <v>9</v>
      </c>
      <c r="K330" s="92" t="s">
        <v>10</v>
      </c>
      <c r="L330" s="93" t="s">
        <v>11</v>
      </c>
      <c r="M330" s="91" t="s">
        <v>12</v>
      </c>
      <c r="N330" s="91" t="s">
        <v>13</v>
      </c>
      <c r="O330" s="94" t="s">
        <v>14</v>
      </c>
      <c r="P330" s="95" t="s">
        <v>15</v>
      </c>
      <c r="Q330" s="91" t="s">
        <v>16</v>
      </c>
      <c r="R330" s="96"/>
      <c r="S330" s="96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  <c r="AT330" s="97"/>
      <c r="AU330" s="97"/>
      <c r="AV330" s="97"/>
      <c r="AW330" s="97"/>
      <c r="AX330" s="97"/>
      <c r="AY330" s="97"/>
      <c r="AZ330" s="97"/>
      <c r="BA330" s="97"/>
      <c r="BB330" s="97"/>
      <c r="BC330" s="97"/>
      <c r="BD330" s="97"/>
    </row>
    <row r="331">
      <c r="A331" s="63" t="s">
        <v>413</v>
      </c>
      <c r="B331" s="49" t="s">
        <v>385</v>
      </c>
      <c r="C331" s="49" t="s">
        <v>125</v>
      </c>
      <c r="D331" s="49" t="s">
        <v>414</v>
      </c>
      <c r="E331" s="63" t="s">
        <v>54</v>
      </c>
      <c r="F331" s="98">
        <v>6.2604029E8</v>
      </c>
      <c r="H331" s="120">
        <v>6678.0</v>
      </c>
      <c r="I331" s="20" t="s">
        <v>127</v>
      </c>
      <c r="J331" s="72" t="s">
        <v>56</v>
      </c>
      <c r="K331" s="72">
        <v>8.826871385E9</v>
      </c>
      <c r="L331" s="49">
        <v>3163.0</v>
      </c>
      <c r="M331" s="6"/>
      <c r="N331" s="6"/>
      <c r="O331" s="6"/>
      <c r="P331" s="6"/>
      <c r="Q331" s="17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2"/>
      <c r="AZ331" s="2"/>
      <c r="BA331" s="2"/>
      <c r="BB331" s="2"/>
      <c r="BC331" s="2"/>
      <c r="BD331" s="2"/>
    </row>
    <row r="332">
      <c r="A332" s="63" t="s">
        <v>413</v>
      </c>
      <c r="B332" s="83">
        <v>46269.0</v>
      </c>
      <c r="C332" s="49" t="s">
        <v>125</v>
      </c>
      <c r="D332" s="49" t="s">
        <v>126</v>
      </c>
      <c r="E332" s="63" t="s">
        <v>54</v>
      </c>
      <c r="F332" s="98">
        <v>6.26040217E8</v>
      </c>
      <c r="H332" s="120">
        <v>6678.0</v>
      </c>
      <c r="I332" s="20" t="s">
        <v>127</v>
      </c>
      <c r="J332" s="72" t="s">
        <v>56</v>
      </c>
      <c r="K332" s="72">
        <v>8.826871385E9</v>
      </c>
      <c r="L332" s="65">
        <v>1050.0</v>
      </c>
      <c r="M332" s="51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7"/>
    </row>
    <row r="333">
      <c r="A333" s="63" t="s">
        <v>413</v>
      </c>
      <c r="B333" s="83">
        <v>46269.0</v>
      </c>
      <c r="C333" s="49" t="s">
        <v>125</v>
      </c>
      <c r="D333" s="49" t="s">
        <v>126</v>
      </c>
      <c r="E333" s="63" t="s">
        <v>54</v>
      </c>
      <c r="F333" s="98">
        <v>6.26040218E8</v>
      </c>
      <c r="H333" s="120">
        <v>6678.0</v>
      </c>
      <c r="I333" s="20" t="s">
        <v>127</v>
      </c>
      <c r="J333" s="72" t="s">
        <v>56</v>
      </c>
      <c r="K333" s="72">
        <v>8.826871385E9</v>
      </c>
      <c r="L333" s="65">
        <v>85.0</v>
      </c>
      <c r="M333" s="51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7"/>
    </row>
    <row r="334">
      <c r="A334" s="63" t="s">
        <v>413</v>
      </c>
      <c r="B334" s="49" t="s">
        <v>357</v>
      </c>
      <c r="C334" s="17" t="s">
        <v>67</v>
      </c>
      <c r="D334" s="17" t="s">
        <v>68</v>
      </c>
      <c r="E334" s="63" t="s">
        <v>54</v>
      </c>
      <c r="F334" s="98">
        <v>6.26040246E8</v>
      </c>
      <c r="G334" s="51"/>
      <c r="H334" s="111">
        <v>6677.0</v>
      </c>
      <c r="I334" s="20" t="s">
        <v>148</v>
      </c>
      <c r="J334" s="76" t="s">
        <v>56</v>
      </c>
      <c r="K334" s="17">
        <v>8.799720529E9</v>
      </c>
      <c r="L334" s="65">
        <v>1500.0</v>
      </c>
      <c r="M334" s="51"/>
      <c r="N334" s="51"/>
      <c r="O334" s="51"/>
      <c r="P334" s="51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7"/>
    </row>
    <row r="335">
      <c r="A335" s="63" t="s">
        <v>413</v>
      </c>
      <c r="B335" s="49" t="s">
        <v>357</v>
      </c>
      <c r="C335" s="17" t="s">
        <v>67</v>
      </c>
      <c r="D335" s="17" t="s">
        <v>68</v>
      </c>
      <c r="E335" s="63" t="s">
        <v>54</v>
      </c>
      <c r="F335" s="98">
        <v>6.26040245E8</v>
      </c>
      <c r="G335" s="51"/>
      <c r="H335" s="111">
        <v>6677.0</v>
      </c>
      <c r="I335" s="20" t="s">
        <v>148</v>
      </c>
      <c r="J335" s="76" t="s">
        <v>56</v>
      </c>
      <c r="K335" s="17">
        <v>8.799720529E9</v>
      </c>
      <c r="L335" s="65">
        <v>6500.0</v>
      </c>
      <c r="M335" s="51"/>
      <c r="N335" s="51"/>
      <c r="O335" s="51"/>
      <c r="P335" s="51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7"/>
    </row>
    <row r="336">
      <c r="A336" s="63" t="s">
        <v>413</v>
      </c>
      <c r="B336" s="49" t="s">
        <v>23</v>
      </c>
      <c r="C336" s="17" t="s">
        <v>67</v>
      </c>
      <c r="D336" s="17" t="s">
        <v>68</v>
      </c>
      <c r="E336" s="63" t="s">
        <v>54</v>
      </c>
      <c r="F336" s="98">
        <v>6.26030589E8</v>
      </c>
      <c r="G336" s="51"/>
      <c r="H336" s="111">
        <v>6677.0</v>
      </c>
      <c r="I336" s="20" t="s">
        <v>148</v>
      </c>
      <c r="J336" s="76" t="s">
        <v>56</v>
      </c>
      <c r="K336" s="17">
        <v>8.799720529E9</v>
      </c>
      <c r="L336" s="65">
        <v>1750.0</v>
      </c>
      <c r="M336" s="51"/>
      <c r="N336" s="51"/>
      <c r="O336" s="51"/>
      <c r="P336" s="51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7"/>
    </row>
    <row r="337">
      <c r="A337" s="63" t="s">
        <v>413</v>
      </c>
      <c r="B337" s="121">
        <v>46330.0</v>
      </c>
      <c r="C337" s="49" t="s">
        <v>415</v>
      </c>
      <c r="D337" s="49" t="s">
        <v>416</v>
      </c>
      <c r="E337" s="63" t="s">
        <v>317</v>
      </c>
      <c r="F337" s="98">
        <v>6.26040234E8</v>
      </c>
      <c r="G337" s="49">
        <v>6.04260113E8</v>
      </c>
      <c r="H337" s="111" t="s">
        <v>417</v>
      </c>
      <c r="I337" s="74" t="s">
        <v>418</v>
      </c>
      <c r="J337" s="63" t="s">
        <v>412</v>
      </c>
      <c r="K337" s="63">
        <v>8.569882641E9</v>
      </c>
      <c r="L337" s="65">
        <v>750.0</v>
      </c>
      <c r="M337" s="24"/>
      <c r="N337" s="51"/>
      <c r="O337" s="51"/>
      <c r="P337" s="51"/>
      <c r="Q337" s="49" t="s">
        <v>224</v>
      </c>
      <c r="R337" s="49"/>
      <c r="S337" s="49" t="s">
        <v>409</v>
      </c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7"/>
    </row>
    <row r="338">
      <c r="A338" s="63" t="s">
        <v>413</v>
      </c>
      <c r="B338" s="63" t="s">
        <v>413</v>
      </c>
      <c r="C338" s="25" t="s">
        <v>60</v>
      </c>
      <c r="D338" s="49" t="s">
        <v>117</v>
      </c>
      <c r="E338" s="63" t="s">
        <v>27</v>
      </c>
      <c r="F338" s="63">
        <v>6.26040247E8</v>
      </c>
      <c r="G338" s="49">
        <v>7.0426051E8</v>
      </c>
      <c r="H338" s="122" t="s">
        <v>75</v>
      </c>
      <c r="I338" s="70" t="s">
        <v>119</v>
      </c>
      <c r="J338" s="69" t="s">
        <v>31</v>
      </c>
      <c r="K338" s="23">
        <v>9.896437186E9</v>
      </c>
      <c r="L338" s="63">
        <v>5356.0</v>
      </c>
      <c r="M338" s="51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7"/>
    </row>
    <row r="339">
      <c r="A339" s="63" t="s">
        <v>413</v>
      </c>
      <c r="B339" s="63" t="s">
        <v>413</v>
      </c>
      <c r="C339" s="25" t="s">
        <v>60</v>
      </c>
      <c r="D339" s="49" t="s">
        <v>117</v>
      </c>
      <c r="E339" s="63" t="s">
        <v>27</v>
      </c>
      <c r="F339" s="63">
        <v>6.26040255E8</v>
      </c>
      <c r="G339" s="49">
        <v>7.0426051E8</v>
      </c>
      <c r="H339" s="122" t="s">
        <v>75</v>
      </c>
      <c r="I339" s="70" t="s">
        <v>119</v>
      </c>
      <c r="J339" s="69" t="s">
        <v>31</v>
      </c>
      <c r="K339" s="23">
        <v>9.896437186E9</v>
      </c>
      <c r="L339" s="65">
        <v>902.0</v>
      </c>
      <c r="M339" s="51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7"/>
    </row>
    <row r="340">
      <c r="A340" s="63" t="s">
        <v>413</v>
      </c>
      <c r="B340" s="63" t="s">
        <v>413</v>
      </c>
      <c r="C340" s="25" t="s">
        <v>60</v>
      </c>
      <c r="D340" s="49" t="s">
        <v>117</v>
      </c>
      <c r="E340" s="63" t="s">
        <v>27</v>
      </c>
      <c r="F340" s="63">
        <v>6.26040259E8</v>
      </c>
      <c r="G340" s="49">
        <v>7.0426051E8</v>
      </c>
      <c r="H340" s="122" t="s">
        <v>75</v>
      </c>
      <c r="I340" s="70" t="s">
        <v>119</v>
      </c>
      <c r="J340" s="69" t="s">
        <v>31</v>
      </c>
      <c r="K340" s="23">
        <v>9.896437186E9</v>
      </c>
      <c r="L340" s="63">
        <v>2032.0</v>
      </c>
      <c r="M340" s="51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7"/>
    </row>
    <row r="341">
      <c r="A341" s="63"/>
      <c r="B341" s="49"/>
      <c r="C341" s="49"/>
      <c r="D341" s="49"/>
      <c r="E341" s="23"/>
      <c r="F341" s="49"/>
      <c r="G341" s="49"/>
      <c r="I341" s="51"/>
      <c r="J341" s="6"/>
      <c r="K341" s="6"/>
      <c r="L341" s="123"/>
      <c r="M341" s="6"/>
      <c r="N341" s="6"/>
      <c r="O341" s="6"/>
      <c r="P341" s="6"/>
      <c r="Q341" s="17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2"/>
      <c r="AZ341" s="2"/>
      <c r="BA341" s="2"/>
      <c r="BB341" s="2"/>
      <c r="BC341" s="2"/>
      <c r="BD341" s="2"/>
    </row>
    <row r="342">
      <c r="A342" s="63"/>
      <c r="B342" s="49"/>
      <c r="C342" s="49"/>
      <c r="D342" s="49"/>
      <c r="E342" s="23"/>
      <c r="F342" s="49"/>
      <c r="G342" s="63">
        <v>60113.0</v>
      </c>
      <c r="I342" s="51"/>
      <c r="J342" s="6"/>
      <c r="K342" s="6"/>
      <c r="L342" s="123">
        <f>SUM(L331:L341)</f>
        <v>23088</v>
      </c>
      <c r="M342" s="6"/>
      <c r="N342" s="6"/>
      <c r="O342" s="6"/>
      <c r="P342" s="6"/>
      <c r="Q342" s="17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2"/>
      <c r="AZ342" s="2"/>
      <c r="BA342" s="2"/>
      <c r="BB342" s="2"/>
      <c r="BC342" s="2"/>
      <c r="BD342" s="2"/>
    </row>
    <row r="343">
      <c r="A343" s="108" t="s">
        <v>419</v>
      </c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4"/>
      <c r="P343" s="2"/>
      <c r="Q343" s="5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ht="38.25" customHeight="1">
      <c r="A344" s="90" t="s">
        <v>0</v>
      </c>
      <c r="B344" s="90" t="s">
        <v>1</v>
      </c>
      <c r="C344" s="91" t="s">
        <v>2</v>
      </c>
      <c r="D344" s="91" t="s">
        <v>3</v>
      </c>
      <c r="E344" s="91" t="s">
        <v>4</v>
      </c>
      <c r="F344" s="91" t="s">
        <v>5</v>
      </c>
      <c r="G344" s="91" t="s">
        <v>6</v>
      </c>
      <c r="H344" s="91" t="s">
        <v>7</v>
      </c>
      <c r="I344" s="91" t="s">
        <v>8</v>
      </c>
      <c r="J344" s="91" t="s">
        <v>9</v>
      </c>
      <c r="K344" s="92" t="s">
        <v>10</v>
      </c>
      <c r="L344" s="93" t="s">
        <v>11</v>
      </c>
      <c r="M344" s="91" t="s">
        <v>12</v>
      </c>
      <c r="N344" s="91" t="s">
        <v>13</v>
      </c>
      <c r="O344" s="94" t="s">
        <v>14</v>
      </c>
      <c r="P344" s="95" t="s">
        <v>15</v>
      </c>
      <c r="Q344" s="91" t="s">
        <v>16</v>
      </c>
      <c r="R344" s="96"/>
      <c r="S344" s="96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97"/>
    </row>
    <row r="345">
      <c r="A345" s="63" t="s">
        <v>419</v>
      </c>
      <c r="B345" s="49" t="s">
        <v>385</v>
      </c>
      <c r="C345" s="63" t="s">
        <v>420</v>
      </c>
      <c r="D345" s="49" t="s">
        <v>421</v>
      </c>
      <c r="E345" s="63" t="s">
        <v>54</v>
      </c>
      <c r="F345" s="98">
        <v>6.26040295E8</v>
      </c>
      <c r="H345" s="112">
        <v>3142.0</v>
      </c>
      <c r="I345" s="20" t="s">
        <v>372</v>
      </c>
      <c r="J345" s="72" t="s">
        <v>373</v>
      </c>
      <c r="K345" s="72">
        <v>8.684015172E9</v>
      </c>
      <c r="L345" s="49">
        <v>75.0</v>
      </c>
      <c r="M345" s="51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7"/>
    </row>
    <row r="346">
      <c r="A346" s="63" t="s">
        <v>419</v>
      </c>
      <c r="B346" s="49" t="s">
        <v>385</v>
      </c>
      <c r="C346" s="63" t="s">
        <v>420</v>
      </c>
      <c r="D346" s="49" t="s">
        <v>421</v>
      </c>
      <c r="E346" s="63" t="s">
        <v>54</v>
      </c>
      <c r="F346" s="98">
        <v>6.26040298E8</v>
      </c>
      <c r="H346" s="112">
        <v>3142.0</v>
      </c>
      <c r="I346" s="20" t="s">
        <v>372</v>
      </c>
      <c r="J346" s="72" t="s">
        <v>373</v>
      </c>
      <c r="K346" s="72">
        <v>8.684015172E9</v>
      </c>
      <c r="L346" s="49">
        <v>30.0</v>
      </c>
      <c r="M346" s="51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7"/>
    </row>
    <row r="347">
      <c r="A347" s="63" t="s">
        <v>419</v>
      </c>
      <c r="B347" s="49" t="s">
        <v>413</v>
      </c>
      <c r="C347" s="49" t="s">
        <v>112</v>
      </c>
      <c r="D347" s="49" t="s">
        <v>422</v>
      </c>
      <c r="E347" s="63" t="s">
        <v>54</v>
      </c>
      <c r="F347" s="100">
        <v>6.26040308E8</v>
      </c>
      <c r="H347" s="112">
        <v>3140.0</v>
      </c>
      <c r="I347" s="20" t="s">
        <v>372</v>
      </c>
      <c r="J347" s="72" t="s">
        <v>373</v>
      </c>
      <c r="K347" s="72">
        <v>8.684015172E9</v>
      </c>
      <c r="L347" s="63">
        <v>732.0</v>
      </c>
      <c r="M347" s="51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7"/>
    </row>
    <row r="348">
      <c r="A348" s="63" t="s">
        <v>419</v>
      </c>
      <c r="B348" s="49" t="s">
        <v>413</v>
      </c>
      <c r="C348" s="49" t="s">
        <v>112</v>
      </c>
      <c r="D348" s="49" t="s">
        <v>422</v>
      </c>
      <c r="E348" s="63" t="s">
        <v>54</v>
      </c>
      <c r="F348" s="100">
        <v>6.26040309E8</v>
      </c>
      <c r="H348" s="112">
        <v>3140.0</v>
      </c>
      <c r="I348" s="20" t="s">
        <v>372</v>
      </c>
      <c r="J348" s="72" t="s">
        <v>373</v>
      </c>
      <c r="K348" s="72">
        <v>8.684015172E9</v>
      </c>
      <c r="L348" s="63">
        <v>3.0</v>
      </c>
      <c r="M348" s="51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7"/>
    </row>
    <row r="349">
      <c r="A349" s="63" t="s">
        <v>419</v>
      </c>
      <c r="B349" s="49" t="s">
        <v>385</v>
      </c>
      <c r="C349" s="49" t="s">
        <v>264</v>
      </c>
      <c r="D349" s="49" t="s">
        <v>265</v>
      </c>
      <c r="E349" s="23" t="s">
        <v>27</v>
      </c>
      <c r="F349" s="49">
        <v>6.26040293E8</v>
      </c>
      <c r="H349" s="112" t="s">
        <v>29</v>
      </c>
      <c r="I349" s="74" t="s">
        <v>96</v>
      </c>
      <c r="J349" s="42" t="s">
        <v>31</v>
      </c>
      <c r="K349" s="42">
        <v>9.779272314E9</v>
      </c>
      <c r="L349" s="49">
        <v>527.0</v>
      </c>
      <c r="M349" s="6"/>
      <c r="N349" s="6"/>
      <c r="O349" s="6"/>
      <c r="P349" s="6"/>
      <c r="Q349" s="17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2"/>
      <c r="AZ349" s="2"/>
      <c r="BA349" s="2"/>
      <c r="BB349" s="2"/>
      <c r="BC349" s="2"/>
      <c r="BD349" s="2"/>
    </row>
    <row r="350">
      <c r="A350" s="63" t="s">
        <v>419</v>
      </c>
      <c r="B350" s="49" t="s">
        <v>385</v>
      </c>
      <c r="C350" s="49" t="s">
        <v>264</v>
      </c>
      <c r="D350" s="49" t="s">
        <v>265</v>
      </c>
      <c r="E350" s="23" t="s">
        <v>27</v>
      </c>
      <c r="F350" s="49">
        <v>6.26040289E8</v>
      </c>
      <c r="H350" s="112" t="s">
        <v>29</v>
      </c>
      <c r="I350" s="74" t="s">
        <v>96</v>
      </c>
      <c r="J350" s="42" t="s">
        <v>31</v>
      </c>
      <c r="K350" s="42">
        <v>9.779272314E9</v>
      </c>
      <c r="L350" s="49">
        <v>2750.0</v>
      </c>
      <c r="M350" s="6"/>
      <c r="N350" s="6"/>
      <c r="O350" s="6"/>
      <c r="P350" s="6"/>
      <c r="Q350" s="17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2"/>
      <c r="AZ350" s="2"/>
      <c r="BA350" s="2"/>
      <c r="BB350" s="2"/>
      <c r="BC350" s="2"/>
      <c r="BD350" s="2"/>
    </row>
    <row r="351">
      <c r="A351" s="63" t="s">
        <v>419</v>
      </c>
      <c r="B351" s="49" t="s">
        <v>385</v>
      </c>
      <c r="C351" s="49" t="s">
        <v>264</v>
      </c>
      <c r="D351" s="49" t="s">
        <v>265</v>
      </c>
      <c r="E351" s="23" t="s">
        <v>27</v>
      </c>
      <c r="F351" s="49">
        <v>6.26040294E8</v>
      </c>
      <c r="H351" s="112" t="s">
        <v>29</v>
      </c>
      <c r="I351" s="74" t="s">
        <v>96</v>
      </c>
      <c r="J351" s="42" t="s">
        <v>31</v>
      </c>
      <c r="K351" s="42">
        <v>9.779272314E9</v>
      </c>
      <c r="L351" s="49">
        <v>80.0</v>
      </c>
      <c r="M351" s="6"/>
      <c r="N351" s="6"/>
      <c r="O351" s="6"/>
      <c r="P351" s="6"/>
      <c r="Q351" s="17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2"/>
      <c r="AZ351" s="2"/>
      <c r="BA351" s="2"/>
      <c r="BB351" s="2"/>
      <c r="BC351" s="2"/>
      <c r="BD351" s="2"/>
    </row>
    <row r="352">
      <c r="A352" s="63" t="s">
        <v>419</v>
      </c>
      <c r="B352" s="49" t="s">
        <v>385</v>
      </c>
      <c r="C352" s="63" t="s">
        <v>60</v>
      </c>
      <c r="D352" s="63" t="s">
        <v>423</v>
      </c>
      <c r="E352" s="23" t="s">
        <v>27</v>
      </c>
      <c r="F352" s="98">
        <v>6.26040304E8</v>
      </c>
      <c r="G352" s="63" t="s">
        <v>424</v>
      </c>
      <c r="H352" s="112">
        <v>6687.0</v>
      </c>
      <c r="I352" s="20" t="s">
        <v>148</v>
      </c>
      <c r="J352" s="76" t="s">
        <v>56</v>
      </c>
      <c r="K352" s="17">
        <v>8.799720529E9</v>
      </c>
      <c r="L352" s="65">
        <v>10328.0</v>
      </c>
      <c r="N352" s="51"/>
      <c r="O352" s="6"/>
      <c r="P352" s="6"/>
      <c r="Q352" s="49" t="s">
        <v>425</v>
      </c>
      <c r="R352" s="49" t="s">
        <v>426</v>
      </c>
      <c r="S352" s="49" t="s">
        <v>427</v>
      </c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7"/>
    </row>
    <row r="353">
      <c r="A353" s="63"/>
      <c r="B353" s="49"/>
      <c r="C353" s="49"/>
      <c r="D353" s="49"/>
      <c r="E353" s="49"/>
      <c r="F353" s="49"/>
      <c r="G353" s="51"/>
      <c r="H353" s="51"/>
      <c r="I353" s="51"/>
      <c r="J353" s="51"/>
      <c r="K353" s="51"/>
      <c r="L353" s="51"/>
      <c r="M353" s="51"/>
      <c r="N353" s="51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7"/>
    </row>
    <row r="354">
      <c r="A354" s="63"/>
      <c r="B354" s="49"/>
      <c r="C354" s="63"/>
      <c r="D354" s="49"/>
      <c r="E354" s="63"/>
      <c r="F354" s="49"/>
      <c r="I354" s="51"/>
      <c r="J354" s="6"/>
      <c r="K354" s="6"/>
      <c r="L354" s="124">
        <f>SUM(L345:L353)</f>
        <v>14525</v>
      </c>
      <c r="M354" s="51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7"/>
    </row>
    <row r="355">
      <c r="A355" s="63"/>
      <c r="B355" s="49"/>
      <c r="C355" s="65"/>
      <c r="D355" s="49"/>
      <c r="E355" s="63"/>
      <c r="F355" s="63"/>
      <c r="H355" s="42"/>
      <c r="I355" s="63"/>
      <c r="J355" s="6"/>
      <c r="K355" s="63"/>
      <c r="L355" s="79"/>
      <c r="N355" s="51"/>
      <c r="O355" s="66"/>
      <c r="P355" s="51"/>
      <c r="Q355" s="49"/>
      <c r="R355" s="51"/>
      <c r="S355" s="49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7"/>
    </row>
    <row r="356">
      <c r="A356" s="108" t="s">
        <v>428</v>
      </c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4"/>
      <c r="P356" s="2"/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 ht="38.25" customHeight="1">
      <c r="A357" s="90" t="s">
        <v>0</v>
      </c>
      <c r="B357" s="90" t="s">
        <v>1</v>
      </c>
      <c r="C357" s="91" t="s">
        <v>2</v>
      </c>
      <c r="D357" s="91" t="s">
        <v>3</v>
      </c>
      <c r="E357" s="91" t="s">
        <v>4</v>
      </c>
      <c r="F357" s="91" t="s">
        <v>5</v>
      </c>
      <c r="G357" s="91" t="s">
        <v>6</v>
      </c>
      <c r="H357" s="91" t="s">
        <v>7</v>
      </c>
      <c r="I357" s="91" t="s">
        <v>8</v>
      </c>
      <c r="J357" s="91" t="s">
        <v>9</v>
      </c>
      <c r="K357" s="92" t="s">
        <v>10</v>
      </c>
      <c r="L357" s="93" t="s">
        <v>11</v>
      </c>
      <c r="M357" s="91" t="s">
        <v>12</v>
      </c>
      <c r="N357" s="91" t="s">
        <v>13</v>
      </c>
      <c r="O357" s="94" t="s">
        <v>14</v>
      </c>
      <c r="P357" s="95" t="s">
        <v>15</v>
      </c>
      <c r="Q357" s="91" t="s">
        <v>16</v>
      </c>
      <c r="R357" s="96"/>
      <c r="S357" s="96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7"/>
      <c r="AI357" s="97"/>
      <c r="AJ357" s="97"/>
      <c r="AK357" s="97"/>
      <c r="AL357" s="97"/>
      <c r="AM357" s="97"/>
      <c r="AN357" s="97"/>
      <c r="AO357" s="97"/>
      <c r="AP357" s="97"/>
      <c r="AQ357" s="97"/>
      <c r="AR357" s="97"/>
      <c r="AS357" s="97"/>
      <c r="AT357" s="97"/>
      <c r="AU357" s="97"/>
      <c r="AV357" s="97"/>
      <c r="AW357" s="97"/>
      <c r="AX357" s="97"/>
      <c r="AY357" s="97"/>
      <c r="AZ357" s="97"/>
      <c r="BA357" s="97"/>
      <c r="BB357" s="97"/>
      <c r="BC357" s="97"/>
      <c r="BD357" s="97"/>
    </row>
    <row r="358">
      <c r="A358" s="49" t="s">
        <v>428</v>
      </c>
      <c r="B358" s="49" t="s">
        <v>413</v>
      </c>
      <c r="C358" s="49" t="s">
        <v>107</v>
      </c>
      <c r="D358" s="49" t="s">
        <v>108</v>
      </c>
      <c r="E358" s="63" t="s">
        <v>49</v>
      </c>
      <c r="F358" s="98">
        <v>6.26040311E8</v>
      </c>
      <c r="G358" s="49">
        <v>6.04260119E8</v>
      </c>
      <c r="H358" s="42">
        <v>12074.0</v>
      </c>
      <c r="I358" s="74" t="s">
        <v>195</v>
      </c>
      <c r="J358" s="23" t="s">
        <v>51</v>
      </c>
      <c r="K358" s="63">
        <v>9.518405919E9</v>
      </c>
      <c r="L358" s="65">
        <v>4000.0</v>
      </c>
      <c r="Q358" s="65" t="s">
        <v>224</v>
      </c>
      <c r="R358" s="49" t="s">
        <v>429</v>
      </c>
      <c r="T358" s="51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7"/>
    </row>
    <row r="359">
      <c r="A359" s="49" t="s">
        <v>428</v>
      </c>
      <c r="B359" s="49" t="s">
        <v>428</v>
      </c>
      <c r="C359" s="49" t="s">
        <v>107</v>
      </c>
      <c r="D359" s="49" t="s">
        <v>108</v>
      </c>
      <c r="E359" s="63" t="s">
        <v>49</v>
      </c>
      <c r="F359" s="98">
        <v>6.26040312E8</v>
      </c>
      <c r="G359" s="49">
        <v>6.04260118E8</v>
      </c>
      <c r="H359" s="42">
        <v>12074.0</v>
      </c>
      <c r="I359" s="74" t="s">
        <v>195</v>
      </c>
      <c r="J359" s="23" t="s">
        <v>51</v>
      </c>
      <c r="K359" s="63">
        <v>9.518405919E9</v>
      </c>
      <c r="L359" s="65">
        <v>5150.0</v>
      </c>
      <c r="Q359" s="65" t="s">
        <v>224</v>
      </c>
      <c r="R359" s="49" t="s">
        <v>429</v>
      </c>
      <c r="T359" s="51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7"/>
    </row>
    <row r="360">
      <c r="A360" s="49" t="s">
        <v>428</v>
      </c>
      <c r="B360" s="49" t="s">
        <v>428</v>
      </c>
      <c r="C360" s="49" t="s">
        <v>107</v>
      </c>
      <c r="D360" s="49" t="s">
        <v>108</v>
      </c>
      <c r="E360" s="63" t="s">
        <v>49</v>
      </c>
      <c r="F360" s="98">
        <v>6.26040313E8</v>
      </c>
      <c r="G360" s="49">
        <v>6.0426012E8</v>
      </c>
      <c r="H360" s="42">
        <v>12074.0</v>
      </c>
      <c r="I360" s="74" t="s">
        <v>195</v>
      </c>
      <c r="J360" s="23" t="s">
        <v>51</v>
      </c>
      <c r="K360" s="63">
        <v>9.518405919E9</v>
      </c>
      <c r="L360" s="65">
        <v>1480.0</v>
      </c>
      <c r="Q360" s="65" t="s">
        <v>224</v>
      </c>
      <c r="R360" s="49" t="s">
        <v>429</v>
      </c>
      <c r="T360" s="51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7"/>
    </row>
    <row r="361">
      <c r="A361" s="49" t="s">
        <v>428</v>
      </c>
      <c r="B361" s="49" t="s">
        <v>428</v>
      </c>
      <c r="C361" s="49" t="s">
        <v>107</v>
      </c>
      <c r="D361" s="49" t="s">
        <v>108</v>
      </c>
      <c r="E361" s="63" t="s">
        <v>49</v>
      </c>
      <c r="F361" s="98">
        <v>6.26040314E8</v>
      </c>
      <c r="G361" s="49">
        <v>6.0426012E8</v>
      </c>
      <c r="H361" s="42">
        <v>12074.0</v>
      </c>
      <c r="I361" s="74" t="s">
        <v>195</v>
      </c>
      <c r="J361" s="23" t="s">
        <v>51</v>
      </c>
      <c r="K361" s="63">
        <v>9.518405919E9</v>
      </c>
      <c r="L361" s="65">
        <v>600.0</v>
      </c>
      <c r="Q361" s="65" t="s">
        <v>224</v>
      </c>
      <c r="R361" s="49" t="s">
        <v>429</v>
      </c>
      <c r="T361" s="51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7"/>
    </row>
    <row r="362">
      <c r="A362" s="63"/>
      <c r="B362" s="49"/>
      <c r="C362" s="65"/>
      <c r="D362" s="49"/>
      <c r="E362" s="63"/>
      <c r="F362" s="63"/>
      <c r="H362" s="42"/>
      <c r="I362" s="63"/>
      <c r="J362" s="6"/>
      <c r="K362" s="63"/>
      <c r="L362" s="79"/>
      <c r="N362" s="51"/>
      <c r="O362" s="66"/>
      <c r="P362" s="51"/>
      <c r="Q362" s="49"/>
      <c r="R362" s="51"/>
      <c r="S362" s="49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7"/>
    </row>
    <row r="363">
      <c r="A363" s="63"/>
      <c r="B363" s="49"/>
      <c r="C363" s="65"/>
      <c r="D363" s="49"/>
      <c r="E363" s="63"/>
      <c r="F363" s="63"/>
      <c r="H363" s="42"/>
      <c r="I363" s="63"/>
      <c r="J363" s="6"/>
      <c r="K363" s="63"/>
      <c r="L363" s="125">
        <f>SUM(L358:L362)</f>
        <v>11230</v>
      </c>
      <c r="N363" s="51"/>
      <c r="O363" s="66"/>
      <c r="P363" s="51"/>
      <c r="Q363" s="49"/>
      <c r="R363" s="51"/>
      <c r="S363" s="49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7"/>
    </row>
    <row r="364">
      <c r="A364" s="108" t="s">
        <v>430</v>
      </c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4"/>
      <c r="P364" s="2"/>
      <c r="Q364" s="5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 ht="38.25" customHeight="1">
      <c r="A365" s="90" t="s">
        <v>0</v>
      </c>
      <c r="B365" s="90" t="s">
        <v>1</v>
      </c>
      <c r="C365" s="91" t="s">
        <v>2</v>
      </c>
      <c r="D365" s="91" t="s">
        <v>3</v>
      </c>
      <c r="E365" s="91" t="s">
        <v>4</v>
      </c>
      <c r="F365" s="91" t="s">
        <v>5</v>
      </c>
      <c r="G365" s="91" t="s">
        <v>6</v>
      </c>
      <c r="H365" s="91" t="s">
        <v>7</v>
      </c>
      <c r="I365" s="91" t="s">
        <v>8</v>
      </c>
      <c r="J365" s="91" t="s">
        <v>9</v>
      </c>
      <c r="K365" s="92" t="s">
        <v>10</v>
      </c>
      <c r="L365" s="93" t="s">
        <v>11</v>
      </c>
      <c r="M365" s="91" t="s">
        <v>12</v>
      </c>
      <c r="N365" s="91" t="s">
        <v>13</v>
      </c>
      <c r="O365" s="94" t="s">
        <v>14</v>
      </c>
      <c r="P365" s="95" t="s">
        <v>15</v>
      </c>
      <c r="Q365" s="91" t="s">
        <v>16</v>
      </c>
      <c r="R365" s="96"/>
      <c r="S365" s="96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  <c r="AO365" s="97"/>
      <c r="AP365" s="97"/>
      <c r="AQ365" s="97"/>
      <c r="AR365" s="97"/>
      <c r="AS365" s="97"/>
      <c r="AT365" s="97"/>
      <c r="AU365" s="97"/>
      <c r="AV365" s="97"/>
      <c r="AW365" s="97"/>
      <c r="AX365" s="97"/>
      <c r="AY365" s="97"/>
      <c r="AZ365" s="97"/>
      <c r="BA365" s="97"/>
      <c r="BB365" s="97"/>
      <c r="BC365" s="97"/>
      <c r="BD365" s="97"/>
    </row>
    <row r="366">
      <c r="A366" s="63" t="s">
        <v>430</v>
      </c>
      <c r="B366" s="49" t="s">
        <v>428</v>
      </c>
      <c r="C366" s="49" t="s">
        <v>431</v>
      </c>
      <c r="D366" s="49" t="s">
        <v>432</v>
      </c>
      <c r="E366" s="63" t="s">
        <v>317</v>
      </c>
      <c r="F366" s="49">
        <v>6.26040319E8</v>
      </c>
      <c r="H366" s="42" t="s">
        <v>29</v>
      </c>
      <c r="I366" s="74" t="s">
        <v>433</v>
      </c>
      <c r="J366" s="42" t="s">
        <v>263</v>
      </c>
      <c r="K366" s="42">
        <v>9.805790499E9</v>
      </c>
      <c r="L366" s="49">
        <v>932.0</v>
      </c>
      <c r="M366" s="51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7"/>
    </row>
    <row r="367">
      <c r="A367" s="63" t="s">
        <v>430</v>
      </c>
      <c r="B367" s="49" t="s">
        <v>428</v>
      </c>
      <c r="C367" s="49" t="s">
        <v>193</v>
      </c>
      <c r="D367" s="49" t="s">
        <v>194</v>
      </c>
      <c r="E367" s="63" t="s">
        <v>27</v>
      </c>
      <c r="F367" s="98">
        <v>6.26040332E8</v>
      </c>
      <c r="H367" s="42">
        <v>12075.0</v>
      </c>
      <c r="I367" s="74" t="s">
        <v>94</v>
      </c>
      <c r="J367" s="23" t="s">
        <v>51</v>
      </c>
      <c r="K367" s="42">
        <v>8.199059083E9</v>
      </c>
      <c r="L367" s="49">
        <v>12900.0</v>
      </c>
      <c r="M367" s="51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7"/>
    </row>
    <row r="368">
      <c r="A368" s="63" t="s">
        <v>430</v>
      </c>
      <c r="B368" s="63" t="s">
        <v>430</v>
      </c>
      <c r="C368" s="63" t="s">
        <v>434</v>
      </c>
      <c r="D368" s="63" t="s">
        <v>435</v>
      </c>
      <c r="E368" s="63" t="s">
        <v>27</v>
      </c>
      <c r="F368" s="100">
        <v>6.26040339E8</v>
      </c>
      <c r="G368" s="49"/>
      <c r="H368" s="42">
        <v>12075.0</v>
      </c>
      <c r="I368" s="74" t="s">
        <v>94</v>
      </c>
      <c r="J368" s="23" t="s">
        <v>51</v>
      </c>
      <c r="K368" s="42">
        <v>8.199059083E9</v>
      </c>
      <c r="L368" s="79">
        <v>100.0</v>
      </c>
      <c r="M368" s="85"/>
      <c r="Q368" s="65"/>
      <c r="R368" s="65"/>
      <c r="S368" s="65"/>
      <c r="T368" s="85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7"/>
    </row>
    <row r="369">
      <c r="A369" s="63" t="s">
        <v>430</v>
      </c>
      <c r="B369" s="49" t="s">
        <v>428</v>
      </c>
      <c r="C369" s="49" t="s">
        <v>436</v>
      </c>
      <c r="D369" s="49" t="s">
        <v>437</v>
      </c>
      <c r="E369" s="63" t="s">
        <v>54</v>
      </c>
      <c r="F369" s="49">
        <v>6.26040324E8</v>
      </c>
      <c r="H369" s="42" t="s">
        <v>75</v>
      </c>
      <c r="I369" s="70" t="s">
        <v>119</v>
      </c>
      <c r="J369" s="69" t="s">
        <v>31</v>
      </c>
      <c r="K369" s="23">
        <v>9.896437186E9</v>
      </c>
      <c r="L369" s="49">
        <v>14324.0</v>
      </c>
      <c r="M369" s="51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7"/>
    </row>
    <row r="370">
      <c r="A370" s="63" t="s">
        <v>430</v>
      </c>
      <c r="B370" s="49" t="s">
        <v>376</v>
      </c>
      <c r="C370" s="49" t="s">
        <v>174</v>
      </c>
      <c r="D370" s="49" t="s">
        <v>175</v>
      </c>
      <c r="E370" s="63" t="s">
        <v>88</v>
      </c>
      <c r="F370" s="98">
        <v>6.26040281E8</v>
      </c>
      <c r="G370" s="63">
        <v>6.04260122E8</v>
      </c>
      <c r="H370" s="42">
        <v>260112.0</v>
      </c>
      <c r="I370" s="74" t="s">
        <v>438</v>
      </c>
      <c r="J370" s="63" t="s">
        <v>41</v>
      </c>
      <c r="K370" s="63">
        <v>8.136912254E9</v>
      </c>
      <c r="L370" s="65">
        <v>2860.0</v>
      </c>
      <c r="Q370" s="65" t="s">
        <v>224</v>
      </c>
      <c r="R370" s="65"/>
      <c r="S370" s="65" t="s">
        <v>429</v>
      </c>
      <c r="T370" s="51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7"/>
    </row>
    <row r="371">
      <c r="A371" s="63" t="s">
        <v>430</v>
      </c>
      <c r="B371" s="49" t="s">
        <v>376</v>
      </c>
      <c r="C371" s="49" t="s">
        <v>174</v>
      </c>
      <c r="D371" s="49" t="s">
        <v>175</v>
      </c>
      <c r="E371" s="63" t="s">
        <v>88</v>
      </c>
      <c r="F371" s="98">
        <v>6.26040279E8</v>
      </c>
      <c r="G371" s="63">
        <v>6.04260122E8</v>
      </c>
      <c r="H371" s="42">
        <v>260112.0</v>
      </c>
      <c r="I371" s="74" t="s">
        <v>438</v>
      </c>
      <c r="J371" s="63" t="s">
        <v>41</v>
      </c>
      <c r="K371" s="63">
        <v>8.136912254E9</v>
      </c>
      <c r="L371" s="65">
        <v>13280.0</v>
      </c>
      <c r="Q371" s="65" t="s">
        <v>224</v>
      </c>
      <c r="R371" s="65"/>
      <c r="S371" s="65" t="s">
        <v>429</v>
      </c>
      <c r="T371" s="51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7"/>
    </row>
    <row r="372">
      <c r="A372" s="63" t="s">
        <v>430</v>
      </c>
      <c r="B372" s="49" t="s">
        <v>385</v>
      </c>
      <c r="C372" s="49" t="s">
        <v>174</v>
      </c>
      <c r="D372" s="49" t="s">
        <v>175</v>
      </c>
      <c r="E372" s="63" t="s">
        <v>88</v>
      </c>
      <c r="F372" s="98">
        <v>6.26040305E8</v>
      </c>
      <c r="G372" s="63">
        <v>6.04260122E8</v>
      </c>
      <c r="H372" s="42">
        <v>260112.0</v>
      </c>
      <c r="I372" s="74" t="s">
        <v>438</v>
      </c>
      <c r="J372" s="63" t="s">
        <v>41</v>
      </c>
      <c r="K372" s="63">
        <v>8.136912254E9</v>
      </c>
      <c r="L372" s="65">
        <v>1500.0</v>
      </c>
      <c r="Q372" s="65" t="s">
        <v>224</v>
      </c>
      <c r="R372" s="65"/>
      <c r="S372" s="65" t="s">
        <v>429</v>
      </c>
      <c r="T372" s="51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7"/>
    </row>
    <row r="373">
      <c r="A373" s="63" t="s">
        <v>430</v>
      </c>
      <c r="B373" s="63" t="s">
        <v>430</v>
      </c>
      <c r="C373" s="49" t="s">
        <v>174</v>
      </c>
      <c r="D373" s="49" t="s">
        <v>175</v>
      </c>
      <c r="E373" s="63" t="s">
        <v>88</v>
      </c>
      <c r="F373" s="100">
        <v>6.26040349E8</v>
      </c>
      <c r="G373" s="63">
        <v>6.04260123E8</v>
      </c>
      <c r="H373" s="42">
        <v>260112.0</v>
      </c>
      <c r="I373" s="74" t="s">
        <v>438</v>
      </c>
      <c r="J373" s="63" t="s">
        <v>41</v>
      </c>
      <c r="K373" s="63">
        <v>8.136912254E9</v>
      </c>
      <c r="L373" s="79">
        <v>750.0</v>
      </c>
      <c r="Q373" s="65"/>
      <c r="R373" s="65"/>
      <c r="S373" s="65"/>
      <c r="T373" s="85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7"/>
    </row>
    <row r="374">
      <c r="A374" s="63" t="s">
        <v>430</v>
      </c>
      <c r="B374" s="49" t="s">
        <v>428</v>
      </c>
      <c r="C374" s="49" t="s">
        <v>283</v>
      </c>
      <c r="D374" s="49" t="s">
        <v>439</v>
      </c>
      <c r="E374" s="63" t="s">
        <v>54</v>
      </c>
      <c r="F374" s="98">
        <v>6.2604032E8</v>
      </c>
      <c r="H374" s="42">
        <v>6696.0</v>
      </c>
      <c r="I374" s="52" t="s">
        <v>55</v>
      </c>
      <c r="J374" s="126" t="s">
        <v>56</v>
      </c>
      <c r="K374" s="127">
        <v>9.718858411E9</v>
      </c>
      <c r="L374" s="49">
        <v>3960.0</v>
      </c>
      <c r="M374" s="51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7"/>
    </row>
    <row r="375">
      <c r="A375" s="63" t="s">
        <v>430</v>
      </c>
      <c r="B375" s="49" t="s">
        <v>428</v>
      </c>
      <c r="C375" s="49" t="s">
        <v>283</v>
      </c>
      <c r="D375" s="49" t="s">
        <v>439</v>
      </c>
      <c r="E375" s="63" t="s">
        <v>54</v>
      </c>
      <c r="F375" s="98">
        <v>6.26040323E8</v>
      </c>
      <c r="H375" s="42">
        <v>6696.0</v>
      </c>
      <c r="I375" s="52" t="s">
        <v>55</v>
      </c>
      <c r="J375" s="126" t="s">
        <v>56</v>
      </c>
      <c r="K375" s="127">
        <v>9.718858411E9</v>
      </c>
      <c r="L375" s="49">
        <v>3075.0</v>
      </c>
      <c r="M375" s="51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7"/>
    </row>
    <row r="376">
      <c r="A376" s="63" t="s">
        <v>430</v>
      </c>
      <c r="B376" s="49" t="s">
        <v>428</v>
      </c>
      <c r="C376" s="49" t="s">
        <v>283</v>
      </c>
      <c r="D376" s="49" t="s">
        <v>439</v>
      </c>
      <c r="E376" s="63" t="s">
        <v>54</v>
      </c>
      <c r="F376" s="128">
        <v>6.26040333E8</v>
      </c>
      <c r="H376" s="42">
        <v>6696.0</v>
      </c>
      <c r="I376" s="52" t="s">
        <v>55</v>
      </c>
      <c r="J376" s="126" t="s">
        <v>56</v>
      </c>
      <c r="K376" s="127">
        <v>9.718858411E9</v>
      </c>
      <c r="L376" s="63">
        <v>1600.0</v>
      </c>
      <c r="M376" s="51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7"/>
    </row>
    <row r="377">
      <c r="A377" s="63" t="s">
        <v>430</v>
      </c>
      <c r="B377" s="49" t="s">
        <v>428</v>
      </c>
      <c r="C377" s="49" t="s">
        <v>163</v>
      </c>
      <c r="D377" s="49" t="s">
        <v>164</v>
      </c>
      <c r="E377" s="63" t="s">
        <v>54</v>
      </c>
      <c r="F377" s="98">
        <v>6.26040321E8</v>
      </c>
      <c r="H377" s="42">
        <v>6694.0</v>
      </c>
      <c r="I377" s="20" t="s">
        <v>69</v>
      </c>
      <c r="J377" s="23" t="s">
        <v>56</v>
      </c>
      <c r="K377" s="23">
        <v>9.899885211E9</v>
      </c>
      <c r="L377" s="49">
        <v>450.0</v>
      </c>
      <c r="M377" s="51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7"/>
    </row>
    <row r="378">
      <c r="A378" s="63" t="s">
        <v>430</v>
      </c>
      <c r="B378" s="49" t="s">
        <v>428</v>
      </c>
      <c r="C378" s="49" t="s">
        <v>163</v>
      </c>
      <c r="D378" s="49" t="s">
        <v>164</v>
      </c>
      <c r="E378" s="63" t="s">
        <v>54</v>
      </c>
      <c r="F378" s="98">
        <v>6.26040322E8</v>
      </c>
      <c r="H378" s="42">
        <v>6694.0</v>
      </c>
      <c r="I378" s="20" t="s">
        <v>69</v>
      </c>
      <c r="J378" s="23" t="s">
        <v>56</v>
      </c>
      <c r="K378" s="23">
        <v>9.899885211E9</v>
      </c>
      <c r="L378" s="49">
        <v>5500.0</v>
      </c>
      <c r="M378" s="51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7"/>
    </row>
    <row r="379">
      <c r="A379" s="63" t="s">
        <v>430</v>
      </c>
      <c r="B379" s="63" t="s">
        <v>430</v>
      </c>
      <c r="C379" s="49" t="s">
        <v>163</v>
      </c>
      <c r="D379" s="49" t="s">
        <v>164</v>
      </c>
      <c r="E379" s="63" t="s">
        <v>54</v>
      </c>
      <c r="F379" s="100">
        <v>6.26040338E8</v>
      </c>
      <c r="H379" s="42">
        <v>6694.0</v>
      </c>
      <c r="I379" s="20" t="s">
        <v>69</v>
      </c>
      <c r="J379" s="23" t="s">
        <v>56</v>
      </c>
      <c r="K379" s="23">
        <v>9.899885211E9</v>
      </c>
      <c r="L379" s="63">
        <v>0.0</v>
      </c>
      <c r="M379" s="51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7"/>
    </row>
    <row r="380">
      <c r="A380" s="63" t="s">
        <v>430</v>
      </c>
      <c r="B380" s="49" t="s">
        <v>428</v>
      </c>
      <c r="C380" s="49" t="s">
        <v>436</v>
      </c>
      <c r="D380" s="49" t="s">
        <v>437</v>
      </c>
      <c r="E380" s="63" t="s">
        <v>54</v>
      </c>
      <c r="F380" s="98">
        <v>6.26040329E8</v>
      </c>
      <c r="G380" s="63">
        <v>2.0</v>
      </c>
      <c r="H380" s="42">
        <v>6693.0</v>
      </c>
      <c r="I380" s="20" t="s">
        <v>69</v>
      </c>
      <c r="J380" s="23" t="s">
        <v>56</v>
      </c>
      <c r="K380" s="23">
        <v>9.899885211E9</v>
      </c>
      <c r="L380" s="49">
        <v>3082.0</v>
      </c>
      <c r="M380" s="51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7"/>
    </row>
    <row r="381">
      <c r="A381" s="63" t="s">
        <v>430</v>
      </c>
      <c r="B381" s="63" t="s">
        <v>430</v>
      </c>
      <c r="C381" s="63" t="s">
        <v>440</v>
      </c>
      <c r="D381" s="63" t="s">
        <v>441</v>
      </c>
      <c r="E381" s="63" t="s">
        <v>54</v>
      </c>
      <c r="F381" s="63" t="s">
        <v>442</v>
      </c>
      <c r="G381" s="63">
        <v>7.04260578E8</v>
      </c>
      <c r="H381" s="42" t="s">
        <v>29</v>
      </c>
      <c r="I381" s="74" t="s">
        <v>443</v>
      </c>
      <c r="J381" s="42" t="s">
        <v>263</v>
      </c>
      <c r="K381" s="42">
        <v>9.811463609E9</v>
      </c>
      <c r="L381" s="79">
        <v>10001.0</v>
      </c>
      <c r="Q381" s="65"/>
      <c r="R381" s="65"/>
      <c r="S381" s="65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7"/>
    </row>
    <row r="382">
      <c r="A382" s="63" t="s">
        <v>430</v>
      </c>
      <c r="B382" s="49" t="s">
        <v>428</v>
      </c>
      <c r="C382" s="63" t="s">
        <v>60</v>
      </c>
      <c r="D382" s="63" t="s">
        <v>444</v>
      </c>
      <c r="E382" s="23" t="s">
        <v>27</v>
      </c>
      <c r="F382" s="63" t="s">
        <v>445</v>
      </c>
      <c r="G382" s="63" t="s">
        <v>446</v>
      </c>
      <c r="H382" s="42" t="s">
        <v>29</v>
      </c>
      <c r="I382" s="20" t="s">
        <v>30</v>
      </c>
      <c r="J382" s="17" t="s">
        <v>31</v>
      </c>
      <c r="K382" s="17">
        <v>9.872987038E9</v>
      </c>
      <c r="L382" s="79">
        <v>15536.9</v>
      </c>
      <c r="Q382" s="65" t="s">
        <v>425</v>
      </c>
      <c r="R382" s="65"/>
      <c r="S382" s="65" t="s">
        <v>447</v>
      </c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7"/>
    </row>
    <row r="383">
      <c r="A383" s="63"/>
      <c r="B383" s="49"/>
      <c r="D383" s="63"/>
      <c r="E383" s="23"/>
      <c r="F383" s="49"/>
      <c r="G383" s="51"/>
      <c r="H383" s="42"/>
      <c r="L383" s="65"/>
      <c r="Q383" s="65"/>
      <c r="R383" s="65"/>
      <c r="S383" s="65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7"/>
    </row>
    <row r="384">
      <c r="A384" s="63"/>
      <c r="B384" s="49"/>
      <c r="D384" s="63"/>
      <c r="E384" s="23"/>
      <c r="F384" s="49"/>
      <c r="G384" s="51"/>
      <c r="H384" s="42"/>
      <c r="L384" s="105">
        <f>SUM(L366:L383)</f>
        <v>89850.9</v>
      </c>
      <c r="Q384" s="65"/>
      <c r="R384" s="65"/>
      <c r="S384" s="65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7"/>
    </row>
    <row r="385">
      <c r="A385" s="63"/>
      <c r="B385" s="49"/>
      <c r="D385" s="63"/>
      <c r="E385" s="23"/>
      <c r="F385" s="49"/>
      <c r="G385" s="51"/>
      <c r="H385" s="42"/>
      <c r="L385" s="65"/>
      <c r="Q385" s="65"/>
      <c r="R385" s="65"/>
      <c r="S385" s="65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7"/>
    </row>
    <row r="386">
      <c r="A386" s="63"/>
      <c r="B386" s="49"/>
      <c r="D386" s="63"/>
      <c r="E386" s="23"/>
      <c r="F386" s="49"/>
      <c r="G386" s="51"/>
      <c r="H386" s="42"/>
      <c r="L386" s="65"/>
      <c r="Q386" s="65"/>
      <c r="R386" s="65"/>
      <c r="S386" s="65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7"/>
    </row>
    <row r="387">
      <c r="A387" s="108" t="s">
        <v>448</v>
      </c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4"/>
      <c r="P387" s="2"/>
      <c r="Q387" s="5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 ht="38.25" customHeight="1">
      <c r="A388" s="90" t="s">
        <v>0</v>
      </c>
      <c r="B388" s="90" t="s">
        <v>1</v>
      </c>
      <c r="C388" s="91" t="s">
        <v>2</v>
      </c>
      <c r="D388" s="91" t="s">
        <v>3</v>
      </c>
      <c r="E388" s="91" t="s">
        <v>4</v>
      </c>
      <c r="F388" s="91" t="s">
        <v>5</v>
      </c>
      <c r="G388" s="91" t="s">
        <v>6</v>
      </c>
      <c r="H388" s="91" t="s">
        <v>7</v>
      </c>
      <c r="I388" s="91" t="s">
        <v>8</v>
      </c>
      <c r="J388" s="91" t="s">
        <v>9</v>
      </c>
      <c r="K388" s="92" t="s">
        <v>10</v>
      </c>
      <c r="L388" s="93" t="s">
        <v>11</v>
      </c>
      <c r="M388" s="91" t="s">
        <v>12</v>
      </c>
      <c r="N388" s="91" t="s">
        <v>13</v>
      </c>
      <c r="O388" s="94" t="s">
        <v>14</v>
      </c>
      <c r="P388" s="95" t="s">
        <v>15</v>
      </c>
      <c r="Q388" s="91" t="s">
        <v>16</v>
      </c>
      <c r="R388" s="96"/>
      <c r="S388" s="96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7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</row>
    <row r="389">
      <c r="A389" s="63" t="s">
        <v>448</v>
      </c>
      <c r="B389" s="49" t="s">
        <v>428</v>
      </c>
      <c r="C389" s="49" t="s">
        <v>18</v>
      </c>
      <c r="D389" s="49" t="s">
        <v>146</v>
      </c>
      <c r="E389" s="63" t="s">
        <v>20</v>
      </c>
      <c r="F389" s="98">
        <v>6.26040315E8</v>
      </c>
      <c r="G389" s="49">
        <v>6.04260121E8</v>
      </c>
      <c r="H389" s="42">
        <v>260114.0</v>
      </c>
      <c r="I389" s="74" t="s">
        <v>449</v>
      </c>
      <c r="J389" s="63" t="s">
        <v>41</v>
      </c>
      <c r="K389" s="63">
        <v>9.813493351E9</v>
      </c>
      <c r="L389" s="65">
        <v>12062.0</v>
      </c>
      <c r="M389" s="85" t="s">
        <v>450</v>
      </c>
      <c r="Q389" s="65" t="s">
        <v>224</v>
      </c>
      <c r="R389" s="65"/>
      <c r="S389" s="65" t="s">
        <v>429</v>
      </c>
      <c r="T389" s="85" t="s">
        <v>451</v>
      </c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7"/>
    </row>
    <row r="390">
      <c r="A390" s="63" t="s">
        <v>448</v>
      </c>
      <c r="B390" s="49" t="s">
        <v>428</v>
      </c>
      <c r="C390" s="49" t="s">
        <v>18</v>
      </c>
      <c r="D390" s="49" t="s">
        <v>146</v>
      </c>
      <c r="E390" s="63" t="s">
        <v>20</v>
      </c>
      <c r="F390" s="98">
        <v>6.26040317E8</v>
      </c>
      <c r="G390" s="49">
        <v>6.04260121E8</v>
      </c>
      <c r="H390" s="42">
        <v>260114.0</v>
      </c>
      <c r="I390" s="74" t="s">
        <v>449</v>
      </c>
      <c r="J390" s="63" t="s">
        <v>41</v>
      </c>
      <c r="K390" s="63">
        <v>9.813493351E9</v>
      </c>
      <c r="L390" s="65">
        <v>3000.0</v>
      </c>
      <c r="Q390" s="65" t="s">
        <v>224</v>
      </c>
      <c r="R390" s="65"/>
      <c r="S390" s="65" t="s">
        <v>429</v>
      </c>
      <c r="T390" s="51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7"/>
    </row>
    <row r="391">
      <c r="A391" s="63" t="s">
        <v>448</v>
      </c>
      <c r="B391" s="49" t="s">
        <v>428</v>
      </c>
      <c r="C391" s="49" t="s">
        <v>18</v>
      </c>
      <c r="D391" s="49" t="s">
        <v>146</v>
      </c>
      <c r="E391" s="63" t="s">
        <v>20</v>
      </c>
      <c r="F391" s="98">
        <v>6.26040328E8</v>
      </c>
      <c r="G391" s="49">
        <v>6.04260121E8</v>
      </c>
      <c r="H391" s="42">
        <v>260114.0</v>
      </c>
      <c r="I391" s="74" t="s">
        <v>449</v>
      </c>
      <c r="J391" s="63" t="s">
        <v>41</v>
      </c>
      <c r="K391" s="63">
        <v>9.813493351E9</v>
      </c>
      <c r="L391" s="65">
        <v>1600.0</v>
      </c>
      <c r="Q391" s="65" t="s">
        <v>224</v>
      </c>
      <c r="R391" s="65"/>
      <c r="S391" s="65" t="s">
        <v>429</v>
      </c>
      <c r="T391" s="51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7"/>
    </row>
    <row r="392">
      <c r="A392" s="63" t="s">
        <v>448</v>
      </c>
      <c r="B392" s="63" t="s">
        <v>430</v>
      </c>
      <c r="C392" s="49" t="s">
        <v>18</v>
      </c>
      <c r="D392" s="49" t="s">
        <v>146</v>
      </c>
      <c r="E392" s="63" t="s">
        <v>20</v>
      </c>
      <c r="F392" s="100">
        <v>6.26040351E8</v>
      </c>
      <c r="G392" s="129">
        <v>6.04260124E8</v>
      </c>
      <c r="H392" s="42">
        <v>260114.0</v>
      </c>
      <c r="I392" s="74" t="s">
        <v>449</v>
      </c>
      <c r="J392" s="63" t="s">
        <v>41</v>
      </c>
      <c r="K392" s="63">
        <v>9.813493351E9</v>
      </c>
      <c r="L392" s="63">
        <v>800.0</v>
      </c>
      <c r="M392" s="51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7"/>
    </row>
    <row r="393">
      <c r="A393" s="63" t="s">
        <v>430</v>
      </c>
      <c r="B393" s="49" t="s">
        <v>428</v>
      </c>
      <c r="C393" s="49" t="s">
        <v>218</v>
      </c>
      <c r="D393" s="49" t="s">
        <v>452</v>
      </c>
      <c r="E393" s="63" t="s">
        <v>54</v>
      </c>
      <c r="F393" s="49">
        <v>6.26040331E8</v>
      </c>
      <c r="H393" s="42" t="s">
        <v>29</v>
      </c>
      <c r="I393" s="52" t="s">
        <v>96</v>
      </c>
      <c r="J393" s="51" t="s">
        <v>31</v>
      </c>
      <c r="K393" s="51">
        <v>9.972987038E9</v>
      </c>
      <c r="L393" s="49">
        <v>1240.0</v>
      </c>
      <c r="M393" s="51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7"/>
    </row>
    <row r="394">
      <c r="A394" s="63" t="s">
        <v>448</v>
      </c>
      <c r="B394" s="49" t="s">
        <v>428</v>
      </c>
      <c r="C394" s="63" t="s">
        <v>453</v>
      </c>
      <c r="D394" s="63" t="s">
        <v>454</v>
      </c>
      <c r="E394" s="63" t="s">
        <v>233</v>
      </c>
      <c r="F394" s="98">
        <v>6.26040343E8</v>
      </c>
      <c r="H394" s="42">
        <v>1767.0</v>
      </c>
      <c r="I394" s="74" t="s">
        <v>455</v>
      </c>
      <c r="J394" s="63" t="s">
        <v>22</v>
      </c>
      <c r="K394" s="42">
        <v>8.628998035E9</v>
      </c>
      <c r="L394" s="49">
        <v>16940.0</v>
      </c>
      <c r="M394" s="63">
        <v>17360.0</v>
      </c>
      <c r="N394" s="6"/>
      <c r="O394" s="6"/>
      <c r="P394" s="6"/>
      <c r="Q394" s="63" t="s">
        <v>456</v>
      </c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7"/>
    </row>
    <row r="395">
      <c r="A395" s="63" t="s">
        <v>448</v>
      </c>
      <c r="B395" s="49" t="s">
        <v>430</v>
      </c>
      <c r="C395" s="63" t="s">
        <v>453</v>
      </c>
      <c r="D395" s="63" t="s">
        <v>454</v>
      </c>
      <c r="E395" s="63" t="s">
        <v>233</v>
      </c>
      <c r="F395" s="98">
        <v>6.26040345E8</v>
      </c>
      <c r="H395" s="42">
        <v>1767.0</v>
      </c>
      <c r="I395" s="74" t="s">
        <v>455</v>
      </c>
      <c r="J395" s="63" t="s">
        <v>22</v>
      </c>
      <c r="K395" s="42">
        <v>8.628998035E9</v>
      </c>
      <c r="L395" s="49">
        <v>0.0</v>
      </c>
      <c r="M395" s="63">
        <v>104160.0</v>
      </c>
      <c r="N395" s="6"/>
      <c r="O395" s="6"/>
      <c r="P395" s="6"/>
      <c r="Q395" s="63" t="s">
        <v>456</v>
      </c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7"/>
    </row>
    <row r="396">
      <c r="A396" s="63" t="s">
        <v>448</v>
      </c>
      <c r="B396" s="49" t="s">
        <v>430</v>
      </c>
      <c r="C396" s="49" t="s">
        <v>457</v>
      </c>
      <c r="D396" s="63" t="s">
        <v>458</v>
      </c>
      <c r="E396" s="63" t="s">
        <v>27</v>
      </c>
      <c r="F396" s="98">
        <v>6.26040348E8</v>
      </c>
      <c r="G396" s="51"/>
      <c r="H396" s="42">
        <v>6702.0</v>
      </c>
      <c r="I396" s="20" t="s">
        <v>148</v>
      </c>
      <c r="J396" s="76" t="s">
        <v>56</v>
      </c>
      <c r="K396" s="17">
        <v>8.799720529E9</v>
      </c>
      <c r="L396" s="49">
        <v>8002.0</v>
      </c>
      <c r="M396" s="51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7"/>
    </row>
    <row r="397">
      <c r="A397" s="63" t="s">
        <v>448</v>
      </c>
      <c r="B397" s="49" t="s">
        <v>430</v>
      </c>
      <c r="C397" s="49" t="s">
        <v>457</v>
      </c>
      <c r="D397" s="63" t="s">
        <v>458</v>
      </c>
      <c r="E397" s="63" t="s">
        <v>27</v>
      </c>
      <c r="F397" s="98">
        <v>6.26040352E8</v>
      </c>
      <c r="G397" s="51"/>
      <c r="H397" s="42">
        <v>6702.0</v>
      </c>
      <c r="I397" s="20" t="s">
        <v>148</v>
      </c>
      <c r="J397" s="76" t="s">
        <v>56</v>
      </c>
      <c r="K397" s="17">
        <v>8.799720529E9</v>
      </c>
      <c r="L397" s="49">
        <v>90.0</v>
      </c>
      <c r="M397" s="51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7"/>
    </row>
    <row r="398">
      <c r="A398" s="63" t="s">
        <v>448</v>
      </c>
      <c r="B398" s="49" t="s">
        <v>430</v>
      </c>
      <c r="C398" s="49" t="s">
        <v>52</v>
      </c>
      <c r="D398" s="49" t="s">
        <v>459</v>
      </c>
      <c r="E398" s="63" t="s">
        <v>54</v>
      </c>
      <c r="F398" s="98">
        <v>6.26040364E8</v>
      </c>
      <c r="H398" s="63">
        <v>6703.0</v>
      </c>
      <c r="I398" s="52" t="s">
        <v>55</v>
      </c>
      <c r="J398" s="126" t="s">
        <v>56</v>
      </c>
      <c r="K398" s="127">
        <v>9.718858411E9</v>
      </c>
      <c r="L398" s="65">
        <v>2050.0</v>
      </c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</row>
    <row r="399">
      <c r="A399" s="63" t="s">
        <v>448</v>
      </c>
      <c r="B399" s="49" t="s">
        <v>430</v>
      </c>
      <c r="C399" s="49" t="s">
        <v>52</v>
      </c>
      <c r="D399" s="49" t="s">
        <v>459</v>
      </c>
      <c r="E399" s="63" t="s">
        <v>54</v>
      </c>
      <c r="F399" s="98">
        <v>6.26040365E8</v>
      </c>
      <c r="H399" s="63">
        <v>6703.0</v>
      </c>
      <c r="I399" s="52" t="s">
        <v>55</v>
      </c>
      <c r="J399" s="126" t="s">
        <v>56</v>
      </c>
      <c r="K399" s="127">
        <v>9.718858411E9</v>
      </c>
      <c r="L399" s="65">
        <v>1500.0</v>
      </c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</row>
    <row r="400">
      <c r="A400" s="63" t="s">
        <v>448</v>
      </c>
      <c r="B400" s="63" t="s">
        <v>448</v>
      </c>
      <c r="C400" s="49" t="s">
        <v>52</v>
      </c>
      <c r="D400" s="49" t="s">
        <v>459</v>
      </c>
      <c r="E400" s="63" t="s">
        <v>54</v>
      </c>
      <c r="F400" s="100">
        <v>6.26040366E8</v>
      </c>
      <c r="H400" s="63">
        <v>6703.0</v>
      </c>
      <c r="I400" s="52" t="s">
        <v>55</v>
      </c>
      <c r="J400" s="126" t="s">
        <v>56</v>
      </c>
      <c r="K400" s="127">
        <v>9.718858411E9</v>
      </c>
      <c r="L400" s="79">
        <v>0.0</v>
      </c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</row>
    <row r="401">
      <c r="A401" s="63" t="s">
        <v>448</v>
      </c>
      <c r="B401" s="49" t="s">
        <v>428</v>
      </c>
      <c r="C401" s="63" t="s">
        <v>60</v>
      </c>
      <c r="D401" s="63" t="s">
        <v>444</v>
      </c>
      <c r="E401" s="23" t="s">
        <v>27</v>
      </c>
      <c r="F401" s="49" t="s">
        <v>460</v>
      </c>
      <c r="G401" s="63">
        <v>7.04260621E8</v>
      </c>
      <c r="H401" s="42" t="s">
        <v>29</v>
      </c>
      <c r="I401" s="20" t="s">
        <v>30</v>
      </c>
      <c r="J401" s="17" t="s">
        <v>31</v>
      </c>
      <c r="K401" s="17">
        <v>9.872987038E9</v>
      </c>
      <c r="L401" s="65">
        <v>11540.0</v>
      </c>
      <c r="Q401" s="65" t="s">
        <v>425</v>
      </c>
      <c r="R401" s="65"/>
      <c r="S401" s="79" t="s">
        <v>461</v>
      </c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7"/>
    </row>
    <row r="402">
      <c r="A402" s="63" t="s">
        <v>448</v>
      </c>
      <c r="B402" s="63" t="s">
        <v>448</v>
      </c>
      <c r="C402" s="63" t="s">
        <v>60</v>
      </c>
      <c r="D402" s="63" t="s">
        <v>444</v>
      </c>
      <c r="E402" s="23" t="s">
        <v>27</v>
      </c>
      <c r="F402" s="63">
        <v>6.26040367E8</v>
      </c>
      <c r="G402" s="63">
        <v>7.04260621E8</v>
      </c>
      <c r="H402" s="42" t="s">
        <v>29</v>
      </c>
      <c r="I402" s="20" t="s">
        <v>30</v>
      </c>
      <c r="J402" s="17" t="s">
        <v>31</v>
      </c>
      <c r="K402" s="17">
        <v>9.872987038E9</v>
      </c>
      <c r="L402" s="79">
        <v>5000.0</v>
      </c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</row>
    <row r="403">
      <c r="A403" s="63" t="s">
        <v>448</v>
      </c>
      <c r="B403" s="49" t="s">
        <v>428</v>
      </c>
      <c r="C403" s="17" t="s">
        <v>67</v>
      </c>
      <c r="D403" s="17" t="s">
        <v>68</v>
      </c>
      <c r="F403" s="49">
        <v>6.26040318E8</v>
      </c>
      <c r="G403" s="49"/>
      <c r="H403" s="42" t="s">
        <v>75</v>
      </c>
      <c r="I403" s="70" t="s">
        <v>119</v>
      </c>
      <c r="J403" s="69" t="s">
        <v>31</v>
      </c>
      <c r="K403" s="23">
        <v>9.896437186E9</v>
      </c>
      <c r="L403" s="65">
        <v>1000.0</v>
      </c>
      <c r="P403" s="51"/>
      <c r="Q403" s="65" t="s">
        <v>224</v>
      </c>
      <c r="R403" s="65" t="s">
        <v>462</v>
      </c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7"/>
    </row>
    <row r="404">
      <c r="A404" s="63" t="s">
        <v>448</v>
      </c>
      <c r="B404" s="49" t="s">
        <v>428</v>
      </c>
      <c r="C404" s="17" t="s">
        <v>67</v>
      </c>
      <c r="D404" s="17" t="s">
        <v>68</v>
      </c>
      <c r="F404" s="49">
        <v>6.26040316E8</v>
      </c>
      <c r="G404" s="49"/>
      <c r="H404" s="42" t="s">
        <v>75</v>
      </c>
      <c r="I404" s="70" t="s">
        <v>119</v>
      </c>
      <c r="J404" s="69" t="s">
        <v>31</v>
      </c>
      <c r="K404" s="23">
        <v>9.896437186E9</v>
      </c>
      <c r="L404" s="65">
        <v>5500.0</v>
      </c>
      <c r="P404" s="51"/>
      <c r="Q404" s="65" t="s">
        <v>224</v>
      </c>
      <c r="R404" s="65" t="s">
        <v>462</v>
      </c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7"/>
    </row>
    <row r="405">
      <c r="A405" s="63" t="s">
        <v>448</v>
      </c>
      <c r="B405" s="83">
        <v>46207.0</v>
      </c>
      <c r="C405" s="17" t="s">
        <v>67</v>
      </c>
      <c r="D405" s="17" t="s">
        <v>68</v>
      </c>
      <c r="F405" s="49">
        <v>6.26040196E8</v>
      </c>
      <c r="G405" s="49"/>
      <c r="H405" s="42" t="s">
        <v>75</v>
      </c>
      <c r="I405" s="70" t="s">
        <v>119</v>
      </c>
      <c r="J405" s="69" t="s">
        <v>31</v>
      </c>
      <c r="K405" s="23">
        <v>9.896437186E9</v>
      </c>
      <c r="L405" s="65">
        <v>500.0</v>
      </c>
      <c r="P405" s="51"/>
      <c r="Q405" s="65" t="s">
        <v>224</v>
      </c>
      <c r="R405" s="65" t="s">
        <v>462</v>
      </c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7"/>
    </row>
    <row r="406">
      <c r="A406" s="63" t="s">
        <v>448</v>
      </c>
      <c r="B406" s="83">
        <v>46207.0</v>
      </c>
      <c r="C406" s="17" t="s">
        <v>67</v>
      </c>
      <c r="D406" s="17" t="s">
        <v>68</v>
      </c>
      <c r="F406" s="49">
        <v>6.26040195E8</v>
      </c>
      <c r="G406" s="49"/>
      <c r="H406" s="42" t="s">
        <v>75</v>
      </c>
      <c r="I406" s="70" t="s">
        <v>119</v>
      </c>
      <c r="J406" s="69" t="s">
        <v>31</v>
      </c>
      <c r="K406" s="23">
        <v>9.896437186E9</v>
      </c>
      <c r="L406" s="65">
        <v>5250.0</v>
      </c>
      <c r="P406" s="51"/>
      <c r="Q406" s="65" t="s">
        <v>224</v>
      </c>
      <c r="R406" s="65" t="s">
        <v>462</v>
      </c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7"/>
    </row>
    <row r="407">
      <c r="A407" s="63"/>
      <c r="B407" s="49"/>
      <c r="D407" s="63"/>
      <c r="E407" s="23"/>
      <c r="F407" s="49"/>
      <c r="G407" s="51"/>
      <c r="H407" s="42"/>
      <c r="L407" s="65"/>
      <c r="Q407" s="65"/>
      <c r="R407" s="65"/>
      <c r="S407" s="65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7"/>
    </row>
    <row r="408">
      <c r="A408" s="63"/>
      <c r="B408" s="49"/>
      <c r="D408" s="63"/>
      <c r="E408" s="23"/>
      <c r="F408" s="49"/>
      <c r="G408" s="51"/>
      <c r="H408" s="42"/>
      <c r="L408" s="81">
        <f>SUM(L389:L407)</f>
        <v>76074</v>
      </c>
      <c r="Q408" s="65"/>
      <c r="R408" s="65"/>
      <c r="S408" s="65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7"/>
    </row>
    <row r="409">
      <c r="A409" s="63"/>
      <c r="B409" s="49"/>
      <c r="D409" s="63"/>
      <c r="E409" s="23"/>
      <c r="F409" s="49"/>
      <c r="G409" s="51"/>
      <c r="H409" s="42"/>
      <c r="L409" s="65"/>
      <c r="Q409" s="65"/>
      <c r="R409" s="65"/>
      <c r="S409" s="65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7"/>
    </row>
    <row r="410">
      <c r="A410" s="108" t="s">
        <v>463</v>
      </c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4"/>
      <c r="P410" s="2"/>
      <c r="Q410" s="5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 ht="38.25" customHeight="1">
      <c r="A411" s="90" t="s">
        <v>0</v>
      </c>
      <c r="B411" s="90" t="s">
        <v>1</v>
      </c>
      <c r="C411" s="91" t="s">
        <v>2</v>
      </c>
      <c r="D411" s="91" t="s">
        <v>3</v>
      </c>
      <c r="E411" s="91" t="s">
        <v>4</v>
      </c>
      <c r="F411" s="91" t="s">
        <v>5</v>
      </c>
      <c r="G411" s="91" t="s">
        <v>6</v>
      </c>
      <c r="H411" s="91" t="s">
        <v>7</v>
      </c>
      <c r="I411" s="91" t="s">
        <v>8</v>
      </c>
      <c r="J411" s="91" t="s">
        <v>9</v>
      </c>
      <c r="K411" s="92" t="s">
        <v>10</v>
      </c>
      <c r="L411" s="93" t="s">
        <v>11</v>
      </c>
      <c r="M411" s="91" t="s">
        <v>12</v>
      </c>
      <c r="N411" s="91" t="s">
        <v>13</v>
      </c>
      <c r="O411" s="94" t="s">
        <v>14</v>
      </c>
      <c r="P411" s="95" t="s">
        <v>15</v>
      </c>
      <c r="Q411" s="91" t="s">
        <v>16</v>
      </c>
      <c r="R411" s="96"/>
      <c r="S411" s="96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  <c r="AF411" s="97"/>
      <c r="AG411" s="97"/>
      <c r="AH411" s="97"/>
      <c r="AI411" s="97"/>
      <c r="AJ411" s="97"/>
      <c r="AK411" s="97"/>
      <c r="AL411" s="97"/>
      <c r="AM411" s="97"/>
      <c r="AN411" s="97"/>
      <c r="AO411" s="97"/>
      <c r="AP411" s="97"/>
      <c r="AQ411" s="97"/>
      <c r="AR411" s="97"/>
      <c r="AS411" s="97"/>
      <c r="AT411" s="97"/>
      <c r="AU411" s="97"/>
      <c r="AV411" s="97"/>
      <c r="AW411" s="97"/>
      <c r="AX411" s="97"/>
      <c r="AY411" s="97"/>
      <c r="AZ411" s="97"/>
      <c r="BA411" s="97"/>
      <c r="BB411" s="97"/>
      <c r="BC411" s="97"/>
      <c r="BD411" s="97"/>
    </row>
    <row r="412">
      <c r="A412" s="63" t="s">
        <v>463</v>
      </c>
      <c r="B412" s="49" t="s">
        <v>428</v>
      </c>
      <c r="C412" s="63" t="s">
        <v>60</v>
      </c>
      <c r="D412" s="49" t="s">
        <v>464</v>
      </c>
      <c r="E412" s="130" t="s">
        <v>27</v>
      </c>
      <c r="F412" s="49" t="s">
        <v>465</v>
      </c>
      <c r="G412" s="49" t="s">
        <v>466</v>
      </c>
      <c r="H412" s="23" t="s">
        <v>29</v>
      </c>
      <c r="I412" s="20" t="s">
        <v>63</v>
      </c>
      <c r="J412" s="23" t="s">
        <v>64</v>
      </c>
      <c r="K412" s="23">
        <v>9.779272314E9</v>
      </c>
      <c r="L412" s="65">
        <v>2618.0</v>
      </c>
      <c r="N412" s="51"/>
      <c r="O412" s="51"/>
      <c r="P412" s="51"/>
      <c r="Q412" s="49" t="s">
        <v>425</v>
      </c>
      <c r="R412" s="49" t="s">
        <v>467</v>
      </c>
      <c r="S412" s="49" t="s">
        <v>468</v>
      </c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7"/>
    </row>
    <row r="413">
      <c r="A413" s="63" t="s">
        <v>463</v>
      </c>
      <c r="B413" s="49" t="s">
        <v>428</v>
      </c>
      <c r="C413" s="63" t="s">
        <v>453</v>
      </c>
      <c r="D413" s="63" t="s">
        <v>454</v>
      </c>
      <c r="E413" s="63" t="s">
        <v>233</v>
      </c>
      <c r="F413" s="98">
        <v>6.26040342E8</v>
      </c>
      <c r="H413" s="42">
        <v>1768.0</v>
      </c>
      <c r="I413" s="74" t="s">
        <v>469</v>
      </c>
      <c r="J413" s="63" t="s">
        <v>22</v>
      </c>
      <c r="K413" s="63">
        <v>9.721246052E9</v>
      </c>
      <c r="L413" s="49">
        <v>5080.0</v>
      </c>
      <c r="M413" s="63">
        <v>78000.0</v>
      </c>
      <c r="N413" s="51"/>
      <c r="O413" s="51"/>
      <c r="P413" s="51"/>
      <c r="Q413" s="63" t="s">
        <v>456</v>
      </c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7"/>
    </row>
    <row r="414">
      <c r="A414" s="63" t="s">
        <v>463</v>
      </c>
      <c r="B414" s="49" t="s">
        <v>428</v>
      </c>
      <c r="C414" s="63" t="s">
        <v>453</v>
      </c>
      <c r="D414" s="63" t="s">
        <v>454</v>
      </c>
      <c r="E414" s="63" t="s">
        <v>233</v>
      </c>
      <c r="F414" s="98">
        <v>6.26040344E8</v>
      </c>
      <c r="H414" s="42">
        <v>1768.0</v>
      </c>
      <c r="I414" s="74" t="s">
        <v>469</v>
      </c>
      <c r="J414" s="63" t="s">
        <v>22</v>
      </c>
      <c r="K414" s="63">
        <v>9.721246052E9</v>
      </c>
      <c r="L414" s="49">
        <v>3312.0</v>
      </c>
      <c r="M414" s="51"/>
      <c r="N414" s="6"/>
      <c r="O414" s="6"/>
      <c r="P414" s="6"/>
      <c r="Q414" s="63" t="s">
        <v>456</v>
      </c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7"/>
    </row>
    <row r="415">
      <c r="A415" s="63" t="s">
        <v>463</v>
      </c>
      <c r="B415" s="49" t="s">
        <v>430</v>
      </c>
      <c r="C415" s="79" t="s">
        <v>142</v>
      </c>
      <c r="D415" s="49" t="s">
        <v>143</v>
      </c>
      <c r="E415" s="63" t="s">
        <v>54</v>
      </c>
      <c r="F415" s="98">
        <v>6.26040355E8</v>
      </c>
      <c r="G415" s="49">
        <v>6.04260125E8</v>
      </c>
      <c r="H415" s="63">
        <v>11467.0</v>
      </c>
      <c r="I415" s="74" t="s">
        <v>144</v>
      </c>
      <c r="J415" s="63" t="s">
        <v>222</v>
      </c>
      <c r="K415" s="63">
        <v>8.5330406E9</v>
      </c>
      <c r="L415" s="65">
        <v>12600.0</v>
      </c>
      <c r="P415" s="51"/>
      <c r="Q415" s="65" t="s">
        <v>224</v>
      </c>
      <c r="R415" s="65" t="s">
        <v>462</v>
      </c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7"/>
    </row>
    <row r="416">
      <c r="A416" s="63" t="s">
        <v>463</v>
      </c>
      <c r="B416" s="49" t="s">
        <v>430</v>
      </c>
      <c r="C416" s="79" t="s">
        <v>142</v>
      </c>
      <c r="D416" s="49" t="s">
        <v>143</v>
      </c>
      <c r="E416" s="63" t="s">
        <v>54</v>
      </c>
      <c r="F416" s="98">
        <v>6.26040354E8</v>
      </c>
      <c r="G416" s="49">
        <v>6.04260126E8</v>
      </c>
      <c r="H416" s="63">
        <v>11468.0</v>
      </c>
      <c r="I416" s="74" t="s">
        <v>470</v>
      </c>
      <c r="J416" s="63" t="s">
        <v>222</v>
      </c>
      <c r="K416" s="63">
        <v>9.643497727E9</v>
      </c>
      <c r="L416" s="65">
        <v>4800.0</v>
      </c>
      <c r="P416" s="51"/>
      <c r="Q416" s="65" t="s">
        <v>224</v>
      </c>
      <c r="R416" s="65" t="s">
        <v>462</v>
      </c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7"/>
    </row>
    <row r="417">
      <c r="A417" s="63" t="s">
        <v>463</v>
      </c>
      <c r="B417" s="49" t="s">
        <v>430</v>
      </c>
      <c r="C417" s="79" t="s">
        <v>142</v>
      </c>
      <c r="D417" s="49" t="s">
        <v>143</v>
      </c>
      <c r="E417" s="63" t="s">
        <v>54</v>
      </c>
      <c r="F417" s="98">
        <v>6.26040357E8</v>
      </c>
      <c r="G417" s="49">
        <v>6.04260126E8</v>
      </c>
      <c r="H417" s="63">
        <v>11468.0</v>
      </c>
      <c r="I417" s="74" t="s">
        <v>470</v>
      </c>
      <c r="J417" s="63" t="s">
        <v>222</v>
      </c>
      <c r="K417" s="63">
        <v>9.643497727E9</v>
      </c>
      <c r="L417" s="65">
        <v>7200.0</v>
      </c>
      <c r="P417" s="51"/>
      <c r="Q417" s="65" t="s">
        <v>224</v>
      </c>
      <c r="R417" s="65" t="s">
        <v>462</v>
      </c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7"/>
    </row>
    <row r="418">
      <c r="A418" s="63" t="s">
        <v>463</v>
      </c>
      <c r="B418" s="83">
        <v>46330.0</v>
      </c>
      <c r="C418" s="79" t="s">
        <v>142</v>
      </c>
      <c r="D418" s="49" t="s">
        <v>143</v>
      </c>
      <c r="E418" s="63" t="s">
        <v>54</v>
      </c>
      <c r="F418" s="98">
        <v>6.26040237E8</v>
      </c>
      <c r="G418" s="49">
        <v>6.04260109E8</v>
      </c>
      <c r="H418" s="63">
        <v>11468.0</v>
      </c>
      <c r="I418" s="74" t="s">
        <v>470</v>
      </c>
      <c r="J418" s="63" t="s">
        <v>222</v>
      </c>
      <c r="K418" s="63">
        <v>9.643497727E9</v>
      </c>
      <c r="L418" s="65">
        <v>1378.0</v>
      </c>
      <c r="P418" s="51"/>
      <c r="Q418" s="65" t="s">
        <v>224</v>
      </c>
      <c r="R418" s="65" t="s">
        <v>462</v>
      </c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7"/>
    </row>
    <row r="419">
      <c r="A419" s="63" t="s">
        <v>463</v>
      </c>
      <c r="B419" s="49" t="s">
        <v>448</v>
      </c>
      <c r="C419" s="49" t="s">
        <v>125</v>
      </c>
      <c r="D419" s="49" t="s">
        <v>126</v>
      </c>
      <c r="E419" s="63" t="s">
        <v>54</v>
      </c>
      <c r="F419" s="98">
        <v>6.26040381E8</v>
      </c>
      <c r="G419" s="63">
        <v>1.0</v>
      </c>
      <c r="H419" s="42">
        <v>1071.0</v>
      </c>
      <c r="I419" s="74" t="s">
        <v>471</v>
      </c>
      <c r="J419" s="72" t="s">
        <v>141</v>
      </c>
      <c r="K419" s="42">
        <v>9.728003959E9</v>
      </c>
      <c r="L419" s="65">
        <v>4200.0</v>
      </c>
      <c r="M419" s="51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7"/>
    </row>
    <row r="420">
      <c r="A420" s="85" t="s">
        <v>463</v>
      </c>
      <c r="B420" s="87" t="s">
        <v>448</v>
      </c>
      <c r="C420" s="87" t="s">
        <v>125</v>
      </c>
      <c r="D420" s="87" t="s">
        <v>126</v>
      </c>
      <c r="E420" s="85" t="s">
        <v>54</v>
      </c>
      <c r="F420" s="87">
        <v>6.26040382E8</v>
      </c>
      <c r="G420" s="85">
        <v>1.0</v>
      </c>
      <c r="H420" s="131">
        <v>1069.0</v>
      </c>
      <c r="I420" s="85" t="s">
        <v>471</v>
      </c>
      <c r="J420" s="88" t="s">
        <v>141</v>
      </c>
      <c r="K420" s="131">
        <v>9.728003959E9</v>
      </c>
      <c r="L420" s="132">
        <v>395.0</v>
      </c>
      <c r="M420" s="133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  <c r="AN420" s="134"/>
      <c r="AO420" s="134"/>
      <c r="AP420" s="134"/>
      <c r="AQ420" s="134"/>
      <c r="AR420" s="134"/>
      <c r="AS420" s="134"/>
      <c r="AT420" s="134"/>
      <c r="AU420" s="134"/>
      <c r="AV420" s="134"/>
      <c r="AW420" s="134"/>
      <c r="AX420" s="134"/>
      <c r="AY420" s="134"/>
      <c r="AZ420" s="134"/>
      <c r="BA420" s="134"/>
      <c r="BB420" s="134"/>
      <c r="BC420" s="134"/>
      <c r="BD420" s="134"/>
    </row>
    <row r="421">
      <c r="A421" s="63" t="s">
        <v>463</v>
      </c>
      <c r="B421" s="49" t="s">
        <v>448</v>
      </c>
      <c r="C421" s="49" t="s">
        <v>358</v>
      </c>
      <c r="D421" s="63" t="s">
        <v>359</v>
      </c>
      <c r="E421" s="63" t="s">
        <v>54</v>
      </c>
      <c r="F421" s="98">
        <v>6.26040377E8</v>
      </c>
      <c r="G421" s="63" t="s">
        <v>472</v>
      </c>
      <c r="H421" s="63">
        <v>1070.0</v>
      </c>
      <c r="I421" s="74" t="s">
        <v>471</v>
      </c>
      <c r="J421" s="72" t="s">
        <v>141</v>
      </c>
      <c r="K421" s="42">
        <v>9.728003959E9</v>
      </c>
      <c r="L421" s="65">
        <v>1920.0</v>
      </c>
      <c r="M421" s="51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7"/>
    </row>
    <row r="422">
      <c r="A422" s="63" t="s">
        <v>463</v>
      </c>
      <c r="B422" s="49" t="s">
        <v>448</v>
      </c>
      <c r="C422" s="63" t="s">
        <v>473</v>
      </c>
      <c r="D422" s="63" t="s">
        <v>423</v>
      </c>
      <c r="E422" s="23" t="s">
        <v>27</v>
      </c>
      <c r="F422" s="63" t="s">
        <v>474</v>
      </c>
      <c r="G422" s="63" t="s">
        <v>475</v>
      </c>
      <c r="H422" s="49" t="s">
        <v>75</v>
      </c>
      <c r="I422" s="74" t="s">
        <v>208</v>
      </c>
      <c r="J422" s="51" t="s">
        <v>31</v>
      </c>
      <c r="K422" s="63">
        <v>9.781016497E9</v>
      </c>
      <c r="L422" s="65">
        <v>13805.0</v>
      </c>
      <c r="P422" s="6"/>
      <c r="Q422" s="49" t="s">
        <v>425</v>
      </c>
      <c r="R422" s="49"/>
      <c r="S422" s="49" t="s">
        <v>476</v>
      </c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7"/>
    </row>
    <row r="423">
      <c r="A423" s="63"/>
      <c r="B423" s="49"/>
      <c r="C423" s="63"/>
      <c r="D423" s="63"/>
      <c r="E423" s="23"/>
      <c r="F423" s="63"/>
      <c r="G423" s="51"/>
      <c r="J423" s="135"/>
      <c r="K423" s="49"/>
      <c r="L423" s="49"/>
      <c r="M423" s="49"/>
      <c r="N423" s="51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7"/>
    </row>
    <row r="424">
      <c r="A424" s="63"/>
      <c r="B424" s="49"/>
      <c r="C424" s="63"/>
      <c r="D424" s="63"/>
      <c r="E424" s="23"/>
      <c r="F424" s="63"/>
      <c r="G424" s="51"/>
      <c r="J424" s="135"/>
      <c r="K424" s="49"/>
      <c r="L424" s="105">
        <f>SUM(L412:L423)</f>
        <v>57308</v>
      </c>
      <c r="M424" s="49"/>
      <c r="N424" s="51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7"/>
    </row>
    <row r="425">
      <c r="A425" s="63"/>
      <c r="B425" s="49"/>
      <c r="C425" s="63"/>
      <c r="D425" s="63"/>
      <c r="E425" s="23"/>
      <c r="F425" s="63"/>
      <c r="G425" s="51"/>
      <c r="J425" s="135"/>
      <c r="K425" s="49"/>
      <c r="L425" s="49"/>
      <c r="M425" s="49"/>
      <c r="N425" s="51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7"/>
    </row>
    <row r="426">
      <c r="A426" s="108" t="s">
        <v>477</v>
      </c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4"/>
      <c r="P426" s="2"/>
      <c r="Q426" s="5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ht="38.25" customHeight="1">
      <c r="A427" s="90" t="s">
        <v>0</v>
      </c>
      <c r="B427" s="90" t="s">
        <v>1</v>
      </c>
      <c r="C427" s="91" t="s">
        <v>2</v>
      </c>
      <c r="D427" s="91" t="s">
        <v>3</v>
      </c>
      <c r="E427" s="91" t="s">
        <v>4</v>
      </c>
      <c r="F427" s="91" t="s">
        <v>5</v>
      </c>
      <c r="G427" s="91" t="s">
        <v>6</v>
      </c>
      <c r="H427" s="91" t="s">
        <v>7</v>
      </c>
      <c r="I427" s="91" t="s">
        <v>8</v>
      </c>
      <c r="J427" s="91" t="s">
        <v>9</v>
      </c>
      <c r="K427" s="92" t="s">
        <v>10</v>
      </c>
      <c r="L427" s="93" t="s">
        <v>11</v>
      </c>
      <c r="M427" s="91" t="s">
        <v>12</v>
      </c>
      <c r="N427" s="91" t="s">
        <v>13</v>
      </c>
      <c r="O427" s="94" t="s">
        <v>14</v>
      </c>
      <c r="P427" s="95" t="s">
        <v>15</v>
      </c>
      <c r="Q427" s="91" t="s">
        <v>16</v>
      </c>
      <c r="R427" s="96"/>
      <c r="S427" s="96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  <c r="AF427" s="97"/>
      <c r="AG427" s="97"/>
      <c r="AH427" s="97"/>
      <c r="AI427" s="97"/>
      <c r="AJ427" s="97"/>
      <c r="AK427" s="97"/>
      <c r="AL427" s="97"/>
      <c r="AM427" s="97"/>
      <c r="AN427" s="97"/>
      <c r="AO427" s="97"/>
      <c r="AP427" s="97"/>
      <c r="AQ427" s="97"/>
      <c r="AR427" s="97"/>
      <c r="AS427" s="97"/>
      <c r="AT427" s="97"/>
      <c r="AU427" s="97"/>
      <c r="AV427" s="97"/>
      <c r="AW427" s="97"/>
      <c r="AX427" s="97"/>
      <c r="AY427" s="97"/>
      <c r="AZ427" s="97"/>
      <c r="BA427" s="97"/>
      <c r="BB427" s="97"/>
      <c r="BC427" s="97"/>
      <c r="BD427" s="97"/>
    </row>
    <row r="428">
      <c r="A428" s="63" t="s">
        <v>477</v>
      </c>
      <c r="B428" s="63" t="s">
        <v>463</v>
      </c>
      <c r="C428" s="49" t="s">
        <v>478</v>
      </c>
      <c r="D428" s="63" t="s">
        <v>479</v>
      </c>
      <c r="E428" s="63" t="s">
        <v>135</v>
      </c>
      <c r="F428" s="98">
        <v>6.26040388E8</v>
      </c>
      <c r="H428" s="48">
        <v>135328.0</v>
      </c>
      <c r="I428" s="52" t="s">
        <v>63</v>
      </c>
      <c r="J428" s="48" t="s">
        <v>480</v>
      </c>
      <c r="K428" s="23">
        <v>9.779272314E9</v>
      </c>
      <c r="L428" s="65">
        <v>2000.0</v>
      </c>
      <c r="M428" s="51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7"/>
    </row>
    <row r="429">
      <c r="A429" s="63" t="s">
        <v>477</v>
      </c>
      <c r="B429" s="63" t="s">
        <v>463</v>
      </c>
      <c r="C429" s="63" t="s">
        <v>473</v>
      </c>
      <c r="D429" s="63" t="s">
        <v>481</v>
      </c>
      <c r="E429" s="23" t="s">
        <v>27</v>
      </c>
      <c r="F429" s="49">
        <v>6.26040389E8</v>
      </c>
      <c r="G429" s="63">
        <v>7.04260646E8</v>
      </c>
      <c r="H429" s="42" t="s">
        <v>75</v>
      </c>
      <c r="I429" s="70" t="s">
        <v>119</v>
      </c>
      <c r="J429" s="69" t="s">
        <v>31</v>
      </c>
      <c r="K429" s="23">
        <v>9.896437186E9</v>
      </c>
      <c r="L429" s="65">
        <v>11328.0</v>
      </c>
      <c r="P429" s="6"/>
      <c r="Q429" s="65" t="s">
        <v>425</v>
      </c>
      <c r="R429" s="65"/>
      <c r="S429" s="65" t="s">
        <v>482</v>
      </c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7"/>
    </row>
    <row r="430">
      <c r="A430" s="63" t="s">
        <v>477</v>
      </c>
      <c r="B430" s="63" t="s">
        <v>463</v>
      </c>
      <c r="C430" s="49" t="s">
        <v>57</v>
      </c>
      <c r="D430" s="63" t="s">
        <v>483</v>
      </c>
      <c r="E430" s="63" t="s">
        <v>49</v>
      </c>
      <c r="F430" s="98">
        <v>6.26040386E8</v>
      </c>
      <c r="H430" s="63">
        <v>12077.0</v>
      </c>
      <c r="I430" s="74" t="s">
        <v>80</v>
      </c>
      <c r="J430" s="23" t="s">
        <v>51</v>
      </c>
      <c r="K430" s="42">
        <v>8.950564675E9</v>
      </c>
      <c r="L430" s="65">
        <v>1836.0</v>
      </c>
      <c r="M430" s="51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7"/>
    </row>
    <row r="431">
      <c r="A431" s="63" t="s">
        <v>477</v>
      </c>
      <c r="B431" s="63" t="s">
        <v>463</v>
      </c>
      <c r="C431" s="49" t="s">
        <v>57</v>
      </c>
      <c r="D431" s="63" t="s">
        <v>483</v>
      </c>
      <c r="E431" s="63" t="s">
        <v>49</v>
      </c>
      <c r="F431" s="98">
        <v>6.26040385E8</v>
      </c>
      <c r="H431" s="63">
        <v>12077.0</v>
      </c>
      <c r="I431" s="74" t="s">
        <v>80</v>
      </c>
      <c r="J431" s="23" t="s">
        <v>51</v>
      </c>
      <c r="K431" s="42">
        <v>8.950564675E9</v>
      </c>
      <c r="L431" s="65">
        <v>10550.0</v>
      </c>
      <c r="M431" s="51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7"/>
    </row>
    <row r="432">
      <c r="A432" s="63" t="s">
        <v>477</v>
      </c>
      <c r="B432" s="63" t="s">
        <v>463</v>
      </c>
      <c r="C432" s="49" t="s">
        <v>57</v>
      </c>
      <c r="D432" s="63" t="s">
        <v>483</v>
      </c>
      <c r="E432" s="63" t="s">
        <v>49</v>
      </c>
      <c r="F432" s="98">
        <v>6.2604039E8</v>
      </c>
      <c r="H432" s="63">
        <v>12077.0</v>
      </c>
      <c r="I432" s="74" t="s">
        <v>80</v>
      </c>
      <c r="J432" s="23" t="s">
        <v>51</v>
      </c>
      <c r="K432" s="42">
        <v>8.950564675E9</v>
      </c>
      <c r="L432" s="49">
        <v>216.0</v>
      </c>
      <c r="M432" s="51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7"/>
    </row>
    <row r="433">
      <c r="A433" s="63" t="s">
        <v>477</v>
      </c>
      <c r="B433" s="63" t="s">
        <v>463</v>
      </c>
      <c r="C433" s="49" t="s">
        <v>57</v>
      </c>
      <c r="D433" s="63" t="s">
        <v>483</v>
      </c>
      <c r="E433" s="63" t="s">
        <v>49</v>
      </c>
      <c r="F433" s="98">
        <v>6.26040391E8</v>
      </c>
      <c r="H433" s="63">
        <v>12077.0</v>
      </c>
      <c r="I433" s="74" t="s">
        <v>80</v>
      </c>
      <c r="J433" s="23" t="s">
        <v>51</v>
      </c>
      <c r="K433" s="42">
        <v>8.950564675E9</v>
      </c>
      <c r="L433" s="49">
        <v>510.0</v>
      </c>
      <c r="M433" s="51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7"/>
    </row>
    <row r="434">
      <c r="A434" s="63" t="s">
        <v>477</v>
      </c>
      <c r="B434" s="63" t="s">
        <v>477</v>
      </c>
      <c r="C434" s="63" t="s">
        <v>315</v>
      </c>
      <c r="D434" s="63" t="s">
        <v>484</v>
      </c>
      <c r="E434" s="48" t="s">
        <v>317</v>
      </c>
      <c r="F434" s="63">
        <v>6.26040407E8</v>
      </c>
      <c r="G434" s="51"/>
      <c r="H434" s="23" t="s">
        <v>29</v>
      </c>
      <c r="I434" s="20" t="s">
        <v>63</v>
      </c>
      <c r="J434" s="23" t="s">
        <v>64</v>
      </c>
      <c r="K434" s="23">
        <v>9.779272314E9</v>
      </c>
      <c r="L434" s="79">
        <v>0.0</v>
      </c>
      <c r="P434" s="6"/>
      <c r="Q434" s="65"/>
      <c r="R434" s="65"/>
      <c r="S434" s="65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7"/>
    </row>
    <row r="435">
      <c r="A435" s="63"/>
      <c r="B435" s="63"/>
      <c r="C435" s="63"/>
      <c r="D435" s="63"/>
      <c r="E435" s="23"/>
      <c r="F435" s="49"/>
      <c r="G435" s="51"/>
      <c r="P435" s="6"/>
      <c r="Q435" s="65"/>
      <c r="R435" s="65"/>
      <c r="S435" s="65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7"/>
    </row>
    <row r="436">
      <c r="A436" s="63"/>
      <c r="B436" s="63"/>
      <c r="C436" s="63"/>
      <c r="D436" s="63"/>
      <c r="E436" s="23"/>
      <c r="F436" s="49"/>
      <c r="G436" s="51"/>
      <c r="L436" s="105">
        <f>SUM(L428:L435)</f>
        <v>26440</v>
      </c>
      <c r="P436" s="6"/>
      <c r="Q436" s="65"/>
      <c r="R436" s="65"/>
      <c r="S436" s="65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7"/>
    </row>
    <row r="437">
      <c r="A437" s="108" t="s">
        <v>485</v>
      </c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4"/>
      <c r="P437" s="2"/>
      <c r="Q437" s="5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ht="38.25" customHeight="1">
      <c r="A438" s="90" t="s">
        <v>0</v>
      </c>
      <c r="B438" s="90" t="s">
        <v>1</v>
      </c>
      <c r="C438" s="91" t="s">
        <v>2</v>
      </c>
      <c r="D438" s="91" t="s">
        <v>3</v>
      </c>
      <c r="E438" s="91" t="s">
        <v>4</v>
      </c>
      <c r="F438" s="91" t="s">
        <v>5</v>
      </c>
      <c r="G438" s="91" t="s">
        <v>6</v>
      </c>
      <c r="H438" s="91" t="s">
        <v>7</v>
      </c>
      <c r="I438" s="91" t="s">
        <v>8</v>
      </c>
      <c r="J438" s="91" t="s">
        <v>9</v>
      </c>
      <c r="K438" s="92" t="s">
        <v>10</v>
      </c>
      <c r="L438" s="93" t="s">
        <v>11</v>
      </c>
      <c r="M438" s="91" t="s">
        <v>12</v>
      </c>
      <c r="N438" s="91" t="s">
        <v>13</v>
      </c>
      <c r="O438" s="94" t="s">
        <v>14</v>
      </c>
      <c r="P438" s="95" t="s">
        <v>15</v>
      </c>
      <c r="Q438" s="91" t="s">
        <v>16</v>
      </c>
      <c r="R438" s="96"/>
      <c r="S438" s="96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  <c r="AN438" s="97"/>
      <c r="AO438" s="97"/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</row>
    <row r="439">
      <c r="A439" s="63" t="s">
        <v>485</v>
      </c>
      <c r="B439" s="49" t="s">
        <v>477</v>
      </c>
      <c r="C439" s="49" t="s">
        <v>112</v>
      </c>
      <c r="D439" s="49" t="s">
        <v>113</v>
      </c>
      <c r="E439" s="63" t="s">
        <v>54</v>
      </c>
      <c r="F439" s="98">
        <v>6.26040394E8</v>
      </c>
      <c r="G439" s="51"/>
      <c r="H439" s="76">
        <v>6718.0</v>
      </c>
      <c r="I439" s="50" t="s">
        <v>124</v>
      </c>
      <c r="J439" s="17" t="s">
        <v>56</v>
      </c>
      <c r="K439" s="42">
        <v>7.290982776E9</v>
      </c>
      <c r="L439" s="49">
        <v>300.0</v>
      </c>
      <c r="M439" s="51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7"/>
    </row>
    <row r="440">
      <c r="A440" s="63" t="s">
        <v>485</v>
      </c>
      <c r="B440" s="49" t="s">
        <v>477</v>
      </c>
      <c r="C440" s="49" t="s">
        <v>112</v>
      </c>
      <c r="D440" s="49" t="s">
        <v>113</v>
      </c>
      <c r="E440" s="63" t="s">
        <v>54</v>
      </c>
      <c r="F440" s="98">
        <v>6.26040396E8</v>
      </c>
      <c r="G440" s="51"/>
      <c r="H440" s="76">
        <v>6718.0</v>
      </c>
      <c r="I440" s="50" t="s">
        <v>124</v>
      </c>
      <c r="J440" s="17" t="s">
        <v>56</v>
      </c>
      <c r="K440" s="42">
        <v>7.290982776E9</v>
      </c>
      <c r="L440" s="49">
        <v>100.0</v>
      </c>
      <c r="M440" s="51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7"/>
    </row>
    <row r="441">
      <c r="A441" s="63" t="s">
        <v>485</v>
      </c>
      <c r="B441" s="49" t="s">
        <v>477</v>
      </c>
      <c r="C441" s="49" t="s">
        <v>185</v>
      </c>
      <c r="D441" s="63" t="s">
        <v>486</v>
      </c>
      <c r="E441" s="63" t="s">
        <v>54</v>
      </c>
      <c r="F441" s="98">
        <v>6.26040408E8</v>
      </c>
      <c r="G441" s="51"/>
      <c r="H441" s="67">
        <v>6720.0</v>
      </c>
      <c r="I441" s="20" t="s">
        <v>148</v>
      </c>
      <c r="J441" s="76" t="s">
        <v>56</v>
      </c>
      <c r="K441" s="17">
        <v>8.799720529E9</v>
      </c>
      <c r="L441" s="49">
        <v>8411.0</v>
      </c>
      <c r="M441" s="51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7"/>
    </row>
    <row r="442">
      <c r="A442" s="63" t="s">
        <v>485</v>
      </c>
      <c r="B442" s="49" t="s">
        <v>477</v>
      </c>
      <c r="C442" s="49" t="s">
        <v>185</v>
      </c>
      <c r="D442" s="63" t="s">
        <v>486</v>
      </c>
      <c r="E442" s="63" t="s">
        <v>54</v>
      </c>
      <c r="F442" s="98">
        <v>6.26040409E8</v>
      </c>
      <c r="G442" s="51"/>
      <c r="H442" s="67">
        <v>6720.0</v>
      </c>
      <c r="I442" s="20" t="s">
        <v>148</v>
      </c>
      <c r="J442" s="76" t="s">
        <v>56</v>
      </c>
      <c r="K442" s="17">
        <v>8.799720529E9</v>
      </c>
      <c r="L442" s="49">
        <v>1500.0</v>
      </c>
      <c r="M442" s="51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7"/>
    </row>
    <row r="443">
      <c r="A443" s="63" t="s">
        <v>485</v>
      </c>
      <c r="B443" s="49" t="s">
        <v>477</v>
      </c>
      <c r="C443" s="49" t="s">
        <v>487</v>
      </c>
      <c r="D443" s="63" t="s">
        <v>488</v>
      </c>
      <c r="E443" s="63" t="s">
        <v>27</v>
      </c>
      <c r="F443" s="98">
        <v>6.26040403E8</v>
      </c>
      <c r="G443" s="51"/>
      <c r="H443" s="67">
        <v>6721.0</v>
      </c>
      <c r="I443" s="52" t="s">
        <v>114</v>
      </c>
      <c r="J443" s="17" t="s">
        <v>56</v>
      </c>
      <c r="K443" s="17">
        <v>9.956958533E9</v>
      </c>
      <c r="L443" s="49">
        <v>4950.0</v>
      </c>
      <c r="M443" s="51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7"/>
    </row>
    <row r="444">
      <c r="A444" s="85" t="s">
        <v>485</v>
      </c>
      <c r="B444" s="87" t="s">
        <v>477</v>
      </c>
      <c r="C444" s="87" t="s">
        <v>47</v>
      </c>
      <c r="D444" s="85" t="s">
        <v>489</v>
      </c>
      <c r="E444" s="85" t="s">
        <v>49</v>
      </c>
      <c r="F444" s="87">
        <v>6.2604041E8</v>
      </c>
      <c r="G444" s="133"/>
      <c r="H444" s="88">
        <v>12078.0</v>
      </c>
      <c r="I444" s="85" t="s">
        <v>50</v>
      </c>
      <c r="J444" s="88" t="s">
        <v>51</v>
      </c>
      <c r="K444" s="88">
        <v>8.30754915E9</v>
      </c>
      <c r="L444" s="85">
        <v>266.0</v>
      </c>
      <c r="M444" s="133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  <c r="AN444" s="134"/>
      <c r="AO444" s="134"/>
      <c r="AP444" s="134"/>
      <c r="AQ444" s="134"/>
      <c r="AR444" s="134"/>
      <c r="AS444" s="134"/>
      <c r="AT444" s="134"/>
      <c r="AU444" s="134"/>
      <c r="AV444" s="134"/>
      <c r="AW444" s="134"/>
      <c r="AX444" s="134"/>
      <c r="AY444" s="134"/>
      <c r="AZ444" s="134"/>
      <c r="BA444" s="134"/>
      <c r="BB444" s="134"/>
      <c r="BC444" s="134"/>
      <c r="BD444" s="134"/>
    </row>
    <row r="445">
      <c r="A445" s="85" t="s">
        <v>485</v>
      </c>
      <c r="B445" s="87" t="s">
        <v>477</v>
      </c>
      <c r="C445" s="87" t="s">
        <v>47</v>
      </c>
      <c r="D445" s="85" t="s">
        <v>489</v>
      </c>
      <c r="E445" s="85" t="s">
        <v>49</v>
      </c>
      <c r="F445" s="87">
        <v>6.26040411E8</v>
      </c>
      <c r="G445" s="133"/>
      <c r="H445" s="88">
        <v>12078.0</v>
      </c>
      <c r="I445" s="85" t="s">
        <v>50</v>
      </c>
      <c r="J445" s="88" t="s">
        <v>51</v>
      </c>
      <c r="K445" s="88">
        <v>8.30754915E9</v>
      </c>
      <c r="L445" s="85">
        <v>210.0</v>
      </c>
      <c r="M445" s="133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  <c r="AN445" s="134"/>
      <c r="AO445" s="134"/>
      <c r="AP445" s="134"/>
      <c r="AQ445" s="134"/>
      <c r="AR445" s="134"/>
      <c r="AS445" s="134"/>
      <c r="AT445" s="134"/>
      <c r="AU445" s="134"/>
      <c r="AV445" s="134"/>
      <c r="AW445" s="134"/>
      <c r="AX445" s="134"/>
      <c r="AY445" s="134"/>
      <c r="AZ445" s="134"/>
      <c r="BA445" s="134"/>
      <c r="BB445" s="134"/>
      <c r="BC445" s="134"/>
      <c r="BD445" s="134"/>
    </row>
    <row r="446">
      <c r="A446" s="85" t="s">
        <v>485</v>
      </c>
      <c r="B446" s="87" t="s">
        <v>477</v>
      </c>
      <c r="C446" s="87" t="s">
        <v>47</v>
      </c>
      <c r="D446" s="85" t="s">
        <v>489</v>
      </c>
      <c r="E446" s="85" t="s">
        <v>49</v>
      </c>
      <c r="F446" s="87">
        <v>6.26040412E8</v>
      </c>
      <c r="G446" s="133"/>
      <c r="H446" s="88">
        <v>12078.0</v>
      </c>
      <c r="I446" s="85" t="s">
        <v>50</v>
      </c>
      <c r="J446" s="88" t="s">
        <v>51</v>
      </c>
      <c r="K446" s="88">
        <v>8.30754915E9</v>
      </c>
      <c r="L446" s="85">
        <v>914.0</v>
      </c>
      <c r="M446" s="133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  <c r="AN446" s="134"/>
      <c r="AO446" s="134"/>
      <c r="AP446" s="134"/>
      <c r="AQ446" s="134"/>
      <c r="AR446" s="134"/>
      <c r="AS446" s="134"/>
      <c r="AT446" s="134"/>
      <c r="AU446" s="134"/>
      <c r="AV446" s="134"/>
      <c r="AW446" s="134"/>
      <c r="AX446" s="134"/>
      <c r="AY446" s="134"/>
      <c r="AZ446" s="134"/>
      <c r="BA446" s="134"/>
      <c r="BB446" s="134"/>
      <c r="BC446" s="134"/>
      <c r="BD446" s="134"/>
    </row>
    <row r="447">
      <c r="A447" s="85" t="s">
        <v>485</v>
      </c>
      <c r="B447" s="87" t="s">
        <v>477</v>
      </c>
      <c r="C447" s="87" t="s">
        <v>47</v>
      </c>
      <c r="D447" s="85" t="s">
        <v>489</v>
      </c>
      <c r="E447" s="85" t="s">
        <v>49</v>
      </c>
      <c r="F447" s="87">
        <v>6.26040413E8</v>
      </c>
      <c r="G447" s="133"/>
      <c r="H447" s="88">
        <v>12078.0</v>
      </c>
      <c r="I447" s="85" t="s">
        <v>50</v>
      </c>
      <c r="J447" s="88" t="s">
        <v>51</v>
      </c>
      <c r="K447" s="88">
        <v>8.30754915E9</v>
      </c>
      <c r="L447" s="85">
        <v>11142.0</v>
      </c>
      <c r="M447" s="133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  <c r="AN447" s="134"/>
      <c r="AO447" s="134"/>
      <c r="AP447" s="134"/>
      <c r="AQ447" s="134"/>
      <c r="AR447" s="134"/>
      <c r="AS447" s="134"/>
      <c r="AT447" s="134"/>
      <c r="AU447" s="134"/>
      <c r="AV447" s="134"/>
      <c r="AW447" s="134"/>
      <c r="AX447" s="134"/>
      <c r="AY447" s="134"/>
      <c r="AZ447" s="134"/>
      <c r="BA447" s="134"/>
      <c r="BB447" s="134"/>
      <c r="BC447" s="134"/>
      <c r="BD447" s="134"/>
    </row>
    <row r="448">
      <c r="A448" s="63" t="s">
        <v>485</v>
      </c>
      <c r="B448" s="63" t="s">
        <v>477</v>
      </c>
      <c r="C448" s="63" t="s">
        <v>60</v>
      </c>
      <c r="D448" s="63" t="s">
        <v>490</v>
      </c>
      <c r="E448" s="23" t="s">
        <v>27</v>
      </c>
      <c r="F448" s="63" t="s">
        <v>491</v>
      </c>
      <c r="G448" s="49">
        <v>7.04260655E8</v>
      </c>
      <c r="H448" s="76" t="s">
        <v>29</v>
      </c>
      <c r="I448" s="70" t="s">
        <v>119</v>
      </c>
      <c r="J448" s="69" t="s">
        <v>31</v>
      </c>
      <c r="K448" s="23">
        <v>9.896437186E9</v>
      </c>
      <c r="L448" s="65">
        <v>11352.0</v>
      </c>
      <c r="Q448" s="65" t="s">
        <v>425</v>
      </c>
      <c r="R448" s="65"/>
      <c r="S448" s="65" t="s">
        <v>492</v>
      </c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7"/>
    </row>
    <row r="449">
      <c r="A449" s="63" t="s">
        <v>485</v>
      </c>
      <c r="B449" s="63" t="s">
        <v>485</v>
      </c>
      <c r="C449" s="63" t="s">
        <v>440</v>
      </c>
      <c r="D449" s="63" t="s">
        <v>493</v>
      </c>
      <c r="E449" s="63" t="s">
        <v>54</v>
      </c>
      <c r="F449" s="63">
        <v>6.26040424E8</v>
      </c>
      <c r="G449" s="63">
        <v>6.04260129E8</v>
      </c>
      <c r="H449" s="63" t="s">
        <v>75</v>
      </c>
      <c r="I449" s="74" t="s">
        <v>494</v>
      </c>
      <c r="J449" s="42" t="s">
        <v>263</v>
      </c>
      <c r="K449" s="42">
        <v>6.284139724E9</v>
      </c>
      <c r="L449" s="63">
        <v>5000.0</v>
      </c>
      <c r="M449" s="51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7"/>
    </row>
    <row r="450">
      <c r="A450" s="63"/>
      <c r="B450" s="49"/>
      <c r="C450" s="49"/>
      <c r="D450" s="63"/>
      <c r="E450" s="63"/>
      <c r="F450" s="49"/>
      <c r="G450" s="51"/>
      <c r="I450" s="51"/>
      <c r="J450" s="6"/>
      <c r="K450" s="6"/>
      <c r="L450" s="136">
        <f>SUM(L439:L449)</f>
        <v>44145</v>
      </c>
      <c r="M450" s="51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7"/>
    </row>
    <row r="451">
      <c r="A451" s="63"/>
      <c r="B451" s="49"/>
      <c r="C451" s="49"/>
      <c r="D451" s="63"/>
      <c r="E451" s="63"/>
      <c r="F451" s="49"/>
      <c r="G451" s="51"/>
      <c r="I451" s="51"/>
      <c r="J451" s="6"/>
      <c r="K451" s="6"/>
      <c r="L451" s="49"/>
      <c r="M451" s="51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7"/>
    </row>
    <row r="452">
      <c r="A452" s="108" t="s">
        <v>495</v>
      </c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4"/>
      <c r="P452" s="2"/>
      <c r="Q452" s="5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ht="38.25" customHeight="1">
      <c r="A453" s="90" t="s">
        <v>0</v>
      </c>
      <c r="B453" s="90" t="s">
        <v>1</v>
      </c>
      <c r="C453" s="91" t="s">
        <v>2</v>
      </c>
      <c r="D453" s="91" t="s">
        <v>3</v>
      </c>
      <c r="E453" s="91" t="s">
        <v>4</v>
      </c>
      <c r="F453" s="91" t="s">
        <v>5</v>
      </c>
      <c r="G453" s="91" t="s">
        <v>6</v>
      </c>
      <c r="H453" s="91" t="s">
        <v>7</v>
      </c>
      <c r="I453" s="91" t="s">
        <v>8</v>
      </c>
      <c r="J453" s="91" t="s">
        <v>9</v>
      </c>
      <c r="K453" s="92" t="s">
        <v>10</v>
      </c>
      <c r="L453" s="93" t="s">
        <v>11</v>
      </c>
      <c r="M453" s="91" t="s">
        <v>12</v>
      </c>
      <c r="N453" s="91" t="s">
        <v>13</v>
      </c>
      <c r="O453" s="94" t="s">
        <v>14</v>
      </c>
      <c r="P453" s="95" t="s">
        <v>15</v>
      </c>
      <c r="Q453" s="91" t="s">
        <v>16</v>
      </c>
      <c r="R453" s="96"/>
      <c r="S453" s="96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  <c r="AL453" s="97"/>
      <c r="AM453" s="97"/>
      <c r="AN453" s="97"/>
      <c r="AO453" s="97"/>
      <c r="AP453" s="97"/>
      <c r="AQ453" s="97"/>
      <c r="AR453" s="97"/>
      <c r="AS453" s="97"/>
      <c r="AT453" s="97"/>
      <c r="AU453" s="97"/>
      <c r="AV453" s="97"/>
      <c r="AW453" s="97"/>
      <c r="AX453" s="97"/>
      <c r="AY453" s="97"/>
      <c r="AZ453" s="97"/>
      <c r="BA453" s="97"/>
      <c r="BB453" s="97"/>
      <c r="BC453" s="97"/>
      <c r="BD453" s="97"/>
    </row>
    <row r="454">
      <c r="A454" s="63" t="s">
        <v>495</v>
      </c>
      <c r="B454" s="49" t="s">
        <v>357</v>
      </c>
      <c r="C454" s="49" t="s">
        <v>168</v>
      </c>
      <c r="D454" s="49" t="s">
        <v>169</v>
      </c>
      <c r="E454" s="23" t="s">
        <v>27</v>
      </c>
      <c r="F454" s="98">
        <v>6.26040248E8</v>
      </c>
      <c r="G454" s="49">
        <v>6.04260127E8</v>
      </c>
      <c r="H454" s="42">
        <v>6729.0</v>
      </c>
      <c r="I454" s="20" t="s">
        <v>69</v>
      </c>
      <c r="J454" s="23" t="s">
        <v>56</v>
      </c>
      <c r="K454" s="48">
        <v>9.582295755E9</v>
      </c>
      <c r="L454" s="65">
        <v>2000.0</v>
      </c>
      <c r="N454" s="51"/>
      <c r="O454" s="51"/>
      <c r="P454" s="51"/>
      <c r="Q454" s="49" t="s">
        <v>224</v>
      </c>
      <c r="R454" s="51"/>
      <c r="S454" s="49" t="s">
        <v>496</v>
      </c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>
      <c r="A455" s="63" t="s">
        <v>495</v>
      </c>
      <c r="B455" s="49" t="s">
        <v>385</v>
      </c>
      <c r="C455" s="49" t="s">
        <v>168</v>
      </c>
      <c r="D455" s="49" t="s">
        <v>169</v>
      </c>
      <c r="E455" s="23" t="s">
        <v>27</v>
      </c>
      <c r="F455" s="98">
        <v>6.26040306E8</v>
      </c>
      <c r="G455" s="49">
        <v>6.04260127E8</v>
      </c>
      <c r="H455" s="42">
        <v>6729.0</v>
      </c>
      <c r="I455" s="20" t="s">
        <v>69</v>
      </c>
      <c r="J455" s="23" t="s">
        <v>56</v>
      </c>
      <c r="K455" s="48">
        <v>9.582295755E9</v>
      </c>
      <c r="L455" s="65">
        <v>400.0</v>
      </c>
      <c r="N455" s="51"/>
      <c r="O455" s="51"/>
      <c r="P455" s="51"/>
      <c r="Q455" s="49" t="s">
        <v>224</v>
      </c>
      <c r="R455" s="51"/>
      <c r="S455" s="49" t="s">
        <v>496</v>
      </c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>
      <c r="A456" s="63" t="s">
        <v>495</v>
      </c>
      <c r="B456" s="49" t="s">
        <v>448</v>
      </c>
      <c r="C456" s="49" t="s">
        <v>168</v>
      </c>
      <c r="D456" s="49" t="s">
        <v>169</v>
      </c>
      <c r="E456" s="23" t="s">
        <v>27</v>
      </c>
      <c r="F456" s="98">
        <v>6.26040378E8</v>
      </c>
      <c r="G456" s="49">
        <v>6.04260128E8</v>
      </c>
      <c r="H456" s="42">
        <v>6729.0</v>
      </c>
      <c r="I456" s="20" t="s">
        <v>69</v>
      </c>
      <c r="J456" s="23" t="s">
        <v>56</v>
      </c>
      <c r="K456" s="48">
        <v>9.582295755E9</v>
      </c>
      <c r="L456" s="65">
        <v>5020.0</v>
      </c>
      <c r="N456" s="51"/>
      <c r="O456" s="51"/>
      <c r="P456" s="51"/>
      <c r="Q456" s="49" t="s">
        <v>224</v>
      </c>
      <c r="R456" s="51"/>
      <c r="S456" s="49" t="s">
        <v>496</v>
      </c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>
      <c r="A457" s="63" t="s">
        <v>495</v>
      </c>
      <c r="B457" s="49" t="s">
        <v>448</v>
      </c>
      <c r="C457" s="49" t="s">
        <v>168</v>
      </c>
      <c r="D457" s="49" t="s">
        <v>169</v>
      </c>
      <c r="E457" s="23" t="s">
        <v>27</v>
      </c>
      <c r="F457" s="98">
        <v>6.26040379E8</v>
      </c>
      <c r="G457" s="49">
        <v>6.04260128E8</v>
      </c>
      <c r="H457" s="42">
        <v>6729.0</v>
      </c>
      <c r="I457" s="20" t="s">
        <v>69</v>
      </c>
      <c r="J457" s="23" t="s">
        <v>56</v>
      </c>
      <c r="K457" s="48">
        <v>9.582295755E9</v>
      </c>
      <c r="L457" s="65">
        <v>2096.0</v>
      </c>
      <c r="N457" s="51"/>
      <c r="O457" s="51"/>
      <c r="P457" s="51"/>
      <c r="Q457" s="49" t="s">
        <v>224</v>
      </c>
      <c r="R457" s="51"/>
      <c r="S457" s="49" t="s">
        <v>496</v>
      </c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>
      <c r="A458" s="63"/>
      <c r="B458" s="49"/>
      <c r="C458" s="49"/>
      <c r="D458" s="63"/>
      <c r="E458" s="63"/>
      <c r="F458" s="49"/>
      <c r="G458" s="51"/>
      <c r="H458" s="76"/>
      <c r="I458" s="51"/>
      <c r="J458" s="126"/>
      <c r="K458" s="127"/>
      <c r="L458" s="49"/>
      <c r="M458" s="51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7"/>
    </row>
    <row r="459">
      <c r="A459" s="63"/>
      <c r="B459" s="49"/>
      <c r="C459" s="49"/>
      <c r="D459" s="63"/>
      <c r="E459" s="63"/>
      <c r="F459" s="49"/>
      <c r="G459" s="51"/>
      <c r="H459" s="76"/>
      <c r="I459" s="51"/>
      <c r="J459" s="126"/>
      <c r="K459" s="127"/>
      <c r="L459" s="105">
        <f>SUM(L454:L458)</f>
        <v>9516</v>
      </c>
      <c r="M459" s="51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7"/>
    </row>
    <row r="460">
      <c r="A460" s="108" t="s">
        <v>497</v>
      </c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4"/>
      <c r="P460" s="2"/>
      <c r="Q460" s="5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ht="38.25" customHeight="1">
      <c r="A461" s="90" t="s">
        <v>0</v>
      </c>
      <c r="B461" s="90" t="s">
        <v>1</v>
      </c>
      <c r="C461" s="91" t="s">
        <v>2</v>
      </c>
      <c r="D461" s="91" t="s">
        <v>3</v>
      </c>
      <c r="E461" s="91" t="s">
        <v>4</v>
      </c>
      <c r="F461" s="91" t="s">
        <v>5</v>
      </c>
      <c r="G461" s="91" t="s">
        <v>6</v>
      </c>
      <c r="H461" s="91" t="s">
        <v>7</v>
      </c>
      <c r="I461" s="91" t="s">
        <v>8</v>
      </c>
      <c r="J461" s="91" t="s">
        <v>9</v>
      </c>
      <c r="K461" s="92" t="s">
        <v>10</v>
      </c>
      <c r="L461" s="93" t="s">
        <v>11</v>
      </c>
      <c r="M461" s="91" t="s">
        <v>12</v>
      </c>
      <c r="N461" s="91" t="s">
        <v>13</v>
      </c>
      <c r="O461" s="94" t="s">
        <v>14</v>
      </c>
      <c r="P461" s="95" t="s">
        <v>15</v>
      </c>
      <c r="Q461" s="91" t="s">
        <v>16</v>
      </c>
      <c r="R461" s="96"/>
      <c r="S461" s="96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  <c r="AL461" s="97"/>
      <c r="AM461" s="97"/>
      <c r="AN461" s="97"/>
      <c r="AO461" s="97"/>
      <c r="AP461" s="97"/>
      <c r="AQ461" s="97"/>
      <c r="AR461" s="97"/>
      <c r="AS461" s="97"/>
      <c r="AT461" s="97"/>
      <c r="AU461" s="97"/>
      <c r="AV461" s="97"/>
      <c r="AW461" s="97"/>
      <c r="AX461" s="97"/>
      <c r="AY461" s="97"/>
      <c r="AZ461" s="97"/>
      <c r="BA461" s="97"/>
      <c r="BB461" s="97"/>
      <c r="BC461" s="97"/>
      <c r="BD461" s="97"/>
    </row>
    <row r="462">
      <c r="A462" s="63" t="s">
        <v>497</v>
      </c>
      <c r="B462" s="49" t="s">
        <v>477</v>
      </c>
      <c r="C462" s="49" t="s">
        <v>498</v>
      </c>
      <c r="D462" s="63" t="s">
        <v>499</v>
      </c>
      <c r="E462" s="23" t="s">
        <v>27</v>
      </c>
      <c r="F462" s="49" t="s">
        <v>500</v>
      </c>
      <c r="G462" s="49" t="s">
        <v>501</v>
      </c>
      <c r="H462" s="23" t="s">
        <v>29</v>
      </c>
      <c r="I462" s="20" t="s">
        <v>63</v>
      </c>
      <c r="J462" s="23" t="s">
        <v>64</v>
      </c>
      <c r="K462" s="23">
        <v>9.779272314E9</v>
      </c>
      <c r="L462" s="65">
        <v>1498.0</v>
      </c>
      <c r="M462" s="51"/>
      <c r="N462" s="51"/>
      <c r="O462" s="51"/>
      <c r="P462" s="6"/>
      <c r="Q462" s="49" t="s">
        <v>425</v>
      </c>
      <c r="R462" s="49" t="s">
        <v>502</v>
      </c>
      <c r="S462" s="49" t="s">
        <v>503</v>
      </c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7"/>
    </row>
    <row r="463">
      <c r="A463" s="63" t="s">
        <v>497</v>
      </c>
      <c r="B463" s="49" t="s">
        <v>485</v>
      </c>
      <c r="C463" s="49" t="s">
        <v>504</v>
      </c>
      <c r="D463" s="63" t="s">
        <v>505</v>
      </c>
      <c r="E463" s="63" t="s">
        <v>54</v>
      </c>
      <c r="F463" s="98">
        <v>6.2604042E8</v>
      </c>
      <c r="H463" s="63">
        <v>6731.0</v>
      </c>
      <c r="I463" s="52" t="s">
        <v>114</v>
      </c>
      <c r="J463" s="17" t="s">
        <v>56</v>
      </c>
      <c r="K463" s="17">
        <v>9.956958533E9</v>
      </c>
      <c r="L463" s="49">
        <v>1248.0</v>
      </c>
      <c r="M463" s="51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7"/>
    </row>
    <row r="464">
      <c r="A464" s="63" t="s">
        <v>497</v>
      </c>
      <c r="B464" s="49" t="s">
        <v>485</v>
      </c>
      <c r="C464" s="49" t="s">
        <v>504</v>
      </c>
      <c r="D464" s="63" t="s">
        <v>505</v>
      </c>
      <c r="E464" s="63" t="s">
        <v>54</v>
      </c>
      <c r="F464" s="98">
        <v>6.26040421E8</v>
      </c>
      <c r="H464" s="63">
        <v>6731.0</v>
      </c>
      <c r="I464" s="52" t="s">
        <v>114</v>
      </c>
      <c r="J464" s="17" t="s">
        <v>56</v>
      </c>
      <c r="K464" s="17">
        <v>9.956958533E9</v>
      </c>
      <c r="L464" s="49">
        <v>4700.0</v>
      </c>
      <c r="M464" s="51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7"/>
    </row>
    <row r="465" ht="17.25" customHeight="1">
      <c r="A465" s="85" t="s">
        <v>497</v>
      </c>
      <c r="B465" s="87" t="s">
        <v>477</v>
      </c>
      <c r="C465" s="87" t="s">
        <v>506</v>
      </c>
      <c r="D465" s="85" t="s">
        <v>507</v>
      </c>
      <c r="E465" s="85" t="s">
        <v>27</v>
      </c>
      <c r="F465" s="98">
        <v>6.26040404E8</v>
      </c>
      <c r="G465" s="85" t="s">
        <v>508</v>
      </c>
      <c r="H465" s="131">
        <v>12079.0</v>
      </c>
      <c r="I465" s="85" t="s">
        <v>389</v>
      </c>
      <c r="J465" s="88" t="s">
        <v>51</v>
      </c>
      <c r="K465" s="137">
        <v>9.813490253E9</v>
      </c>
      <c r="L465" s="87">
        <v>4655.0</v>
      </c>
      <c r="M465" s="133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  <c r="AN465" s="134"/>
      <c r="AO465" s="134"/>
      <c r="AP465" s="134"/>
      <c r="AQ465" s="134"/>
      <c r="AR465" s="134"/>
      <c r="AS465" s="134"/>
      <c r="AT465" s="134"/>
      <c r="AU465" s="134"/>
      <c r="AV465" s="134"/>
      <c r="AW465" s="134"/>
      <c r="AX465" s="134"/>
      <c r="AY465" s="134"/>
      <c r="AZ465" s="134"/>
      <c r="BA465" s="134"/>
      <c r="BB465" s="134"/>
      <c r="BC465" s="134"/>
      <c r="BD465" s="134"/>
    </row>
    <row r="466">
      <c r="A466" s="85" t="s">
        <v>497</v>
      </c>
      <c r="B466" s="87" t="s">
        <v>477</v>
      </c>
      <c r="C466" s="87" t="s">
        <v>506</v>
      </c>
      <c r="D466" s="85" t="s">
        <v>507</v>
      </c>
      <c r="E466" s="85" t="s">
        <v>27</v>
      </c>
      <c r="F466" s="98">
        <v>6.26040406E8</v>
      </c>
      <c r="G466" s="85" t="s">
        <v>508</v>
      </c>
      <c r="H466" s="131">
        <v>12079.0</v>
      </c>
      <c r="I466" s="85" t="s">
        <v>389</v>
      </c>
      <c r="J466" s="88" t="s">
        <v>51</v>
      </c>
      <c r="K466" s="137">
        <v>9.813490253E9</v>
      </c>
      <c r="L466" s="87">
        <v>800.0</v>
      </c>
      <c r="M466" s="133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  <c r="AN466" s="134"/>
      <c r="AO466" s="134"/>
      <c r="AP466" s="134"/>
      <c r="AQ466" s="134"/>
      <c r="AR466" s="134"/>
      <c r="AS466" s="134"/>
      <c r="AT466" s="134"/>
      <c r="AU466" s="134"/>
      <c r="AV466" s="134"/>
      <c r="AW466" s="134"/>
      <c r="AX466" s="134"/>
      <c r="AY466" s="134"/>
      <c r="AZ466" s="134"/>
      <c r="BA466" s="134"/>
      <c r="BB466" s="134"/>
      <c r="BC466" s="134"/>
      <c r="BD466" s="134"/>
    </row>
    <row r="467">
      <c r="A467" s="85" t="s">
        <v>497</v>
      </c>
      <c r="B467" s="87" t="s">
        <v>485</v>
      </c>
      <c r="C467" s="87" t="s">
        <v>264</v>
      </c>
      <c r="D467" s="85" t="s">
        <v>265</v>
      </c>
      <c r="E467" s="85" t="s">
        <v>27</v>
      </c>
      <c r="F467" s="98">
        <v>6.26040418E8</v>
      </c>
      <c r="G467" s="85">
        <v>1.0</v>
      </c>
      <c r="H467" s="85">
        <v>12080.0</v>
      </c>
      <c r="I467" s="85" t="s">
        <v>389</v>
      </c>
      <c r="J467" s="88" t="s">
        <v>51</v>
      </c>
      <c r="K467" s="137">
        <v>9.813490253E9</v>
      </c>
      <c r="L467" s="87">
        <v>3975.0</v>
      </c>
      <c r="M467" s="133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  <c r="AN467" s="134"/>
      <c r="AO467" s="134"/>
      <c r="AP467" s="134"/>
      <c r="AQ467" s="134"/>
      <c r="AR467" s="134"/>
      <c r="AS467" s="134"/>
      <c r="AT467" s="134"/>
      <c r="AU467" s="134"/>
      <c r="AV467" s="134"/>
      <c r="AW467" s="134"/>
      <c r="AX467" s="134"/>
      <c r="AY467" s="134"/>
      <c r="AZ467" s="134"/>
      <c r="BA467" s="134"/>
      <c r="BB467" s="134"/>
      <c r="BC467" s="134"/>
      <c r="BD467" s="134"/>
    </row>
    <row r="468">
      <c r="A468" s="63" t="s">
        <v>497</v>
      </c>
      <c r="B468" s="49" t="s">
        <v>485</v>
      </c>
      <c r="C468" s="49" t="s">
        <v>509</v>
      </c>
      <c r="D468" s="63" t="s">
        <v>510</v>
      </c>
      <c r="E468" s="63" t="s">
        <v>54</v>
      </c>
      <c r="F468" s="98">
        <v>6.26040422E8</v>
      </c>
      <c r="G468" s="63">
        <v>1.0</v>
      </c>
      <c r="H468" s="63">
        <v>1089.0</v>
      </c>
      <c r="I468" s="52" t="s">
        <v>511</v>
      </c>
      <c r="J468" s="17" t="s">
        <v>141</v>
      </c>
      <c r="K468" s="17">
        <v>8.285997574E9</v>
      </c>
      <c r="L468" s="49">
        <v>300.0</v>
      </c>
      <c r="M468" s="51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7"/>
    </row>
    <row r="469">
      <c r="A469" s="63" t="s">
        <v>497</v>
      </c>
      <c r="B469" s="49" t="s">
        <v>485</v>
      </c>
      <c r="C469" s="63" t="s">
        <v>283</v>
      </c>
      <c r="D469" s="63" t="s">
        <v>512</v>
      </c>
      <c r="E469" s="63" t="s">
        <v>54</v>
      </c>
      <c r="F469" s="100">
        <v>6.26040423E8</v>
      </c>
      <c r="G469" s="63" t="s">
        <v>508</v>
      </c>
      <c r="H469" s="63">
        <v>1091.0</v>
      </c>
      <c r="I469" s="52" t="s">
        <v>511</v>
      </c>
      <c r="J469" s="17" t="s">
        <v>141</v>
      </c>
      <c r="K469" s="17">
        <v>8.285997574E9</v>
      </c>
      <c r="L469" s="63">
        <v>1500.0</v>
      </c>
      <c r="M469" s="51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7"/>
    </row>
    <row r="470">
      <c r="A470" s="63" t="s">
        <v>497</v>
      </c>
      <c r="B470" s="63" t="s">
        <v>497</v>
      </c>
      <c r="C470" s="138" t="s">
        <v>60</v>
      </c>
      <c r="D470" s="63" t="s">
        <v>444</v>
      </c>
      <c r="E470" s="138" t="s">
        <v>27</v>
      </c>
      <c r="F470" s="63" t="s">
        <v>491</v>
      </c>
      <c r="G470" s="138">
        <v>7.04260667E8</v>
      </c>
      <c r="H470" s="76" t="s">
        <v>29</v>
      </c>
      <c r="I470" s="74" t="s">
        <v>96</v>
      </c>
      <c r="J470" s="42" t="s">
        <v>31</v>
      </c>
      <c r="K470" s="42">
        <v>9.779272314E9</v>
      </c>
      <c r="L470" s="138">
        <v>5337.0</v>
      </c>
      <c r="Q470" s="68" t="s">
        <v>425</v>
      </c>
      <c r="R470" s="68"/>
      <c r="S470" s="68" t="s">
        <v>513</v>
      </c>
      <c r="T470" s="68"/>
    </row>
    <row r="471">
      <c r="A471" s="63" t="s">
        <v>497</v>
      </c>
      <c r="B471" s="63" t="s">
        <v>497</v>
      </c>
      <c r="C471" s="138" t="s">
        <v>60</v>
      </c>
      <c r="D471" s="63" t="s">
        <v>444</v>
      </c>
      <c r="E471" s="138" t="s">
        <v>27</v>
      </c>
      <c r="F471" s="63" t="s">
        <v>491</v>
      </c>
      <c r="G471" s="63">
        <v>7.04260668E8</v>
      </c>
      <c r="H471" s="76" t="s">
        <v>29</v>
      </c>
      <c r="I471" s="74" t="s">
        <v>96</v>
      </c>
      <c r="J471" s="42" t="s">
        <v>31</v>
      </c>
      <c r="K471" s="42">
        <v>9.779272314E9</v>
      </c>
      <c r="L471" s="63">
        <v>2100.0</v>
      </c>
      <c r="M471" s="51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7"/>
    </row>
    <row r="472">
      <c r="A472" s="63" t="s">
        <v>497</v>
      </c>
      <c r="B472" s="63" t="s">
        <v>497</v>
      </c>
      <c r="C472" s="138" t="s">
        <v>60</v>
      </c>
      <c r="D472" s="63" t="s">
        <v>444</v>
      </c>
      <c r="E472" s="138" t="s">
        <v>27</v>
      </c>
      <c r="F472" s="63" t="s">
        <v>491</v>
      </c>
      <c r="G472" s="63">
        <v>7.04260669E8</v>
      </c>
      <c r="H472" s="76" t="s">
        <v>29</v>
      </c>
      <c r="I472" s="74" t="s">
        <v>96</v>
      </c>
      <c r="J472" s="42" t="s">
        <v>31</v>
      </c>
      <c r="K472" s="42">
        <v>9.779272314E9</v>
      </c>
      <c r="L472" s="63">
        <v>393.0</v>
      </c>
      <c r="M472" s="51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7"/>
    </row>
    <row r="473">
      <c r="A473" s="63" t="s">
        <v>497</v>
      </c>
      <c r="B473" s="63" t="s">
        <v>497</v>
      </c>
      <c r="C473" s="138" t="s">
        <v>60</v>
      </c>
      <c r="D473" s="63" t="s">
        <v>444</v>
      </c>
      <c r="E473" s="138" t="s">
        <v>27</v>
      </c>
      <c r="F473" s="63" t="s">
        <v>491</v>
      </c>
      <c r="G473" s="63">
        <v>7.0426067E8</v>
      </c>
      <c r="H473" s="76" t="s">
        <v>29</v>
      </c>
      <c r="I473" s="74" t="s">
        <v>96</v>
      </c>
      <c r="J473" s="42" t="s">
        <v>31</v>
      </c>
      <c r="K473" s="42">
        <v>9.779272314E9</v>
      </c>
      <c r="L473" s="63">
        <v>2804.0</v>
      </c>
      <c r="M473" s="51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7"/>
    </row>
    <row r="474">
      <c r="A474" s="63"/>
      <c r="B474" s="63"/>
      <c r="C474" s="138"/>
      <c r="D474" s="138"/>
      <c r="E474" s="138"/>
      <c r="F474" s="63"/>
      <c r="I474" s="51"/>
      <c r="J474" s="6"/>
      <c r="K474" s="6"/>
      <c r="L474" s="49"/>
      <c r="M474" s="51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7"/>
    </row>
    <row r="475">
      <c r="A475" s="6"/>
      <c r="B475" s="83"/>
      <c r="C475" s="49"/>
      <c r="D475" s="49"/>
      <c r="F475" s="49"/>
      <c r="I475" s="51"/>
      <c r="J475" s="6"/>
      <c r="K475" s="6"/>
      <c r="L475" s="81">
        <f>SUM(L462:L474)</f>
        <v>29310</v>
      </c>
      <c r="M475" s="51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7"/>
    </row>
    <row r="476">
      <c r="A476" s="6"/>
      <c r="B476" s="83"/>
      <c r="C476" s="139"/>
      <c r="D476" s="63"/>
      <c r="F476" s="49"/>
      <c r="K476" s="6"/>
      <c r="L476" s="49"/>
      <c r="M476" s="51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7"/>
    </row>
    <row r="477">
      <c r="A477" s="6"/>
      <c r="B477" s="83"/>
      <c r="C477" s="49"/>
      <c r="D477" s="49"/>
      <c r="F477" s="49"/>
      <c r="K477" s="6"/>
      <c r="L477" s="49"/>
      <c r="M477" s="51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7"/>
    </row>
    <row r="478">
      <c r="A478" s="108" t="s">
        <v>514</v>
      </c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4"/>
      <c r="P478" s="2"/>
      <c r="Q478" s="5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ht="38.25" customHeight="1">
      <c r="A479" s="90" t="s">
        <v>0</v>
      </c>
      <c r="B479" s="90" t="s">
        <v>1</v>
      </c>
      <c r="C479" s="91" t="s">
        <v>2</v>
      </c>
      <c r="D479" s="91" t="s">
        <v>3</v>
      </c>
      <c r="E479" s="91" t="s">
        <v>4</v>
      </c>
      <c r="F479" s="91" t="s">
        <v>5</v>
      </c>
      <c r="G479" s="91" t="s">
        <v>6</v>
      </c>
      <c r="H479" s="91" t="s">
        <v>7</v>
      </c>
      <c r="I479" s="91" t="s">
        <v>8</v>
      </c>
      <c r="J479" s="91" t="s">
        <v>9</v>
      </c>
      <c r="K479" s="92" t="s">
        <v>10</v>
      </c>
      <c r="L479" s="93" t="s">
        <v>11</v>
      </c>
      <c r="M479" s="91" t="s">
        <v>12</v>
      </c>
      <c r="N479" s="91" t="s">
        <v>13</v>
      </c>
      <c r="O479" s="94" t="s">
        <v>14</v>
      </c>
      <c r="P479" s="95" t="s">
        <v>15</v>
      </c>
      <c r="Q479" s="91" t="s">
        <v>16</v>
      </c>
      <c r="R479" s="96"/>
      <c r="S479" s="96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97"/>
    </row>
    <row r="480">
      <c r="A480" s="63" t="s">
        <v>514</v>
      </c>
      <c r="B480" s="49" t="s">
        <v>497</v>
      </c>
      <c r="C480" s="49" t="s">
        <v>125</v>
      </c>
      <c r="D480" s="63" t="s">
        <v>126</v>
      </c>
      <c r="E480" s="63" t="s">
        <v>54</v>
      </c>
      <c r="F480" s="98">
        <v>6.26040454E8</v>
      </c>
      <c r="H480" s="63">
        <v>6737.0</v>
      </c>
      <c r="I480" s="52" t="s">
        <v>114</v>
      </c>
      <c r="J480" s="17" t="s">
        <v>56</v>
      </c>
      <c r="K480" s="17">
        <v>9.956958533E9</v>
      </c>
      <c r="L480" s="65">
        <v>6000.0</v>
      </c>
      <c r="M480" s="51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7"/>
    </row>
    <row r="481">
      <c r="A481" s="63" t="s">
        <v>514</v>
      </c>
      <c r="B481" s="49" t="s">
        <v>497</v>
      </c>
      <c r="C481" s="49" t="s">
        <v>57</v>
      </c>
      <c r="D481" s="63" t="s">
        <v>483</v>
      </c>
      <c r="E481" s="63" t="s">
        <v>49</v>
      </c>
      <c r="F481" s="98">
        <v>6.26040463E8</v>
      </c>
      <c r="G481" s="51"/>
      <c r="H481" s="63">
        <v>12081.0</v>
      </c>
      <c r="I481" s="74" t="s">
        <v>349</v>
      </c>
      <c r="J481" s="23" t="s">
        <v>51</v>
      </c>
      <c r="K481" s="42">
        <v>8.9503575E8</v>
      </c>
      <c r="L481" s="65">
        <v>11399.0</v>
      </c>
      <c r="M481" s="51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7"/>
    </row>
    <row r="482">
      <c r="A482" s="63" t="s">
        <v>514</v>
      </c>
      <c r="B482" s="49" t="s">
        <v>497</v>
      </c>
      <c r="C482" s="49" t="s">
        <v>57</v>
      </c>
      <c r="D482" s="63" t="s">
        <v>483</v>
      </c>
      <c r="E482" s="63" t="s">
        <v>49</v>
      </c>
      <c r="F482" s="98">
        <v>6.26040465E8</v>
      </c>
      <c r="G482" s="51"/>
      <c r="H482" s="63">
        <v>12081.0</v>
      </c>
      <c r="I482" s="74" t="s">
        <v>349</v>
      </c>
      <c r="J482" s="23" t="s">
        <v>51</v>
      </c>
      <c r="K482" s="42">
        <v>8.9503575E8</v>
      </c>
      <c r="L482" s="65">
        <v>0.0</v>
      </c>
      <c r="M482" s="51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7"/>
    </row>
    <row r="483">
      <c r="A483" s="63" t="s">
        <v>514</v>
      </c>
      <c r="B483" s="49" t="s">
        <v>497</v>
      </c>
      <c r="C483" s="49" t="s">
        <v>57</v>
      </c>
      <c r="D483" s="63" t="s">
        <v>483</v>
      </c>
      <c r="E483" s="63" t="s">
        <v>49</v>
      </c>
      <c r="F483" s="98">
        <v>6.26040467E8</v>
      </c>
      <c r="G483" s="51"/>
      <c r="H483" s="63">
        <v>12081.0</v>
      </c>
      <c r="I483" s="74" t="s">
        <v>349</v>
      </c>
      <c r="J483" s="23" t="s">
        <v>51</v>
      </c>
      <c r="K483" s="42">
        <v>8.9503575E8</v>
      </c>
      <c r="L483" s="65">
        <v>0.0</v>
      </c>
      <c r="M483" s="51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7"/>
    </row>
    <row r="484">
      <c r="A484" s="63" t="s">
        <v>514</v>
      </c>
      <c r="B484" s="49" t="s">
        <v>497</v>
      </c>
      <c r="C484" s="49" t="s">
        <v>515</v>
      </c>
      <c r="D484" s="63" t="s">
        <v>516</v>
      </c>
      <c r="E484" s="63" t="s">
        <v>290</v>
      </c>
      <c r="F484" s="98">
        <v>6.26040458E8</v>
      </c>
      <c r="H484" s="63">
        <v>1776.0</v>
      </c>
      <c r="I484" s="74" t="s">
        <v>517</v>
      </c>
      <c r="J484" s="42" t="s">
        <v>408</v>
      </c>
      <c r="K484" s="42">
        <v>9.622229598E9</v>
      </c>
      <c r="L484" s="65">
        <v>15080.0</v>
      </c>
      <c r="M484" s="63">
        <v>16090.0</v>
      </c>
      <c r="N484" s="6"/>
      <c r="O484" s="6"/>
      <c r="P484" s="6"/>
      <c r="Q484" s="49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7"/>
    </row>
    <row r="485">
      <c r="A485" s="63" t="s">
        <v>514</v>
      </c>
      <c r="B485" s="49" t="s">
        <v>497</v>
      </c>
      <c r="C485" s="49" t="s">
        <v>515</v>
      </c>
      <c r="D485" s="63" t="s">
        <v>516</v>
      </c>
      <c r="E485" s="63" t="s">
        <v>290</v>
      </c>
      <c r="F485" s="98">
        <v>6.26040459E8</v>
      </c>
      <c r="H485" s="63">
        <v>1776.0</v>
      </c>
      <c r="I485" s="74" t="s">
        <v>517</v>
      </c>
      <c r="J485" s="42" t="s">
        <v>408</v>
      </c>
      <c r="K485" s="42">
        <v>9.622229598E9</v>
      </c>
      <c r="L485" s="65">
        <v>1160.0</v>
      </c>
      <c r="M485" s="63" t="s">
        <v>518</v>
      </c>
      <c r="N485" s="6"/>
      <c r="O485" s="6"/>
      <c r="P485" s="6"/>
      <c r="Q485" s="49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7"/>
    </row>
    <row r="486">
      <c r="A486" s="63" t="s">
        <v>514</v>
      </c>
      <c r="B486" s="49" t="s">
        <v>497</v>
      </c>
      <c r="C486" s="49" t="s">
        <v>515</v>
      </c>
      <c r="D486" s="63" t="s">
        <v>516</v>
      </c>
      <c r="E486" s="63" t="s">
        <v>290</v>
      </c>
      <c r="F486" s="98">
        <v>6.26040469E8</v>
      </c>
      <c r="G486" s="51"/>
      <c r="H486" s="63">
        <v>1776.0</v>
      </c>
      <c r="I486" s="74" t="s">
        <v>517</v>
      </c>
      <c r="J486" s="42" t="s">
        <v>408</v>
      </c>
      <c r="K486" s="42">
        <v>9.622229598E9</v>
      </c>
      <c r="L486" s="65">
        <v>0.0</v>
      </c>
      <c r="M486" s="51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7"/>
    </row>
    <row r="487">
      <c r="A487" s="6"/>
      <c r="B487" s="83"/>
      <c r="C487" s="49"/>
      <c r="D487" s="49"/>
      <c r="F487" s="49"/>
      <c r="I487" s="51"/>
      <c r="J487" s="6"/>
      <c r="K487" s="6"/>
      <c r="L487" s="49"/>
      <c r="M487" s="51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7"/>
    </row>
    <row r="488">
      <c r="A488" s="6"/>
      <c r="B488" s="83"/>
      <c r="C488" s="49"/>
      <c r="D488" s="49"/>
      <c r="F488" s="49"/>
      <c r="I488" s="51"/>
      <c r="J488" s="6"/>
      <c r="K488" s="6"/>
      <c r="L488" s="105">
        <f>SUM(L480:L487)</f>
        <v>33639</v>
      </c>
      <c r="M488" s="51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7"/>
    </row>
    <row r="489">
      <c r="A489" s="6"/>
      <c r="B489" s="83"/>
      <c r="C489" s="49"/>
      <c r="D489" s="49"/>
      <c r="F489" s="49"/>
      <c r="I489" s="51"/>
      <c r="J489" s="6"/>
      <c r="K489" s="6"/>
      <c r="L489" s="136"/>
      <c r="M489" s="51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7"/>
    </row>
    <row r="490">
      <c r="A490" s="108" t="s">
        <v>519</v>
      </c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4"/>
      <c r="P490" s="2"/>
      <c r="Q490" s="5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ht="38.25" customHeight="1">
      <c r="A491" s="90" t="s">
        <v>0</v>
      </c>
      <c r="B491" s="90" t="s">
        <v>1</v>
      </c>
      <c r="C491" s="91" t="s">
        <v>2</v>
      </c>
      <c r="D491" s="91" t="s">
        <v>3</v>
      </c>
      <c r="E491" s="91" t="s">
        <v>4</v>
      </c>
      <c r="F491" s="91" t="s">
        <v>5</v>
      </c>
      <c r="G491" s="91" t="s">
        <v>6</v>
      </c>
      <c r="H491" s="91" t="s">
        <v>7</v>
      </c>
      <c r="I491" s="91" t="s">
        <v>8</v>
      </c>
      <c r="J491" s="91" t="s">
        <v>9</v>
      </c>
      <c r="K491" s="92" t="s">
        <v>10</v>
      </c>
      <c r="L491" s="93" t="s">
        <v>11</v>
      </c>
      <c r="M491" s="91" t="s">
        <v>12</v>
      </c>
      <c r="N491" s="91" t="s">
        <v>13</v>
      </c>
      <c r="O491" s="94" t="s">
        <v>14</v>
      </c>
      <c r="P491" s="95" t="s">
        <v>15</v>
      </c>
      <c r="Q491" s="91" t="s">
        <v>16</v>
      </c>
      <c r="R491" s="96"/>
      <c r="S491" s="96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  <c r="AT491" s="97"/>
      <c r="AU491" s="97"/>
      <c r="AV491" s="97"/>
      <c r="AW491" s="97"/>
      <c r="AX491" s="97"/>
      <c r="AY491" s="97"/>
      <c r="AZ491" s="97"/>
      <c r="BA491" s="97"/>
      <c r="BB491" s="97"/>
      <c r="BC491" s="97"/>
      <c r="BD491" s="97"/>
    </row>
    <row r="492">
      <c r="A492" s="63" t="s">
        <v>519</v>
      </c>
      <c r="B492" s="49" t="s">
        <v>497</v>
      </c>
      <c r="C492" s="49" t="s">
        <v>283</v>
      </c>
      <c r="D492" s="63" t="s">
        <v>512</v>
      </c>
      <c r="E492" s="63" t="s">
        <v>54</v>
      </c>
      <c r="F492" s="98">
        <v>6.26040462E8</v>
      </c>
      <c r="H492" s="63">
        <v>6739.0</v>
      </c>
      <c r="I492" s="20" t="s">
        <v>127</v>
      </c>
      <c r="J492" s="72" t="s">
        <v>56</v>
      </c>
      <c r="K492" s="72">
        <v>8.826871385E9</v>
      </c>
      <c r="L492" s="65">
        <v>4950.0</v>
      </c>
      <c r="M492" s="51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7"/>
    </row>
    <row r="493">
      <c r="A493" s="63" t="s">
        <v>519</v>
      </c>
      <c r="B493" s="63" t="s">
        <v>514</v>
      </c>
      <c r="C493" s="49" t="s">
        <v>128</v>
      </c>
      <c r="D493" s="49" t="s">
        <v>520</v>
      </c>
      <c r="E493" s="63" t="s">
        <v>49</v>
      </c>
      <c r="F493" s="98">
        <v>6.26040474E8</v>
      </c>
      <c r="H493" s="63">
        <v>12082.0</v>
      </c>
      <c r="I493" s="74" t="s">
        <v>50</v>
      </c>
      <c r="J493" s="23" t="s">
        <v>51</v>
      </c>
      <c r="K493" s="17">
        <v>8.30754915E9</v>
      </c>
      <c r="L493" s="49">
        <v>12000.0</v>
      </c>
      <c r="M493" s="51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7"/>
    </row>
    <row r="494">
      <c r="A494" s="63" t="s">
        <v>519</v>
      </c>
      <c r="B494" s="63" t="s">
        <v>514</v>
      </c>
      <c r="C494" s="49" t="s">
        <v>350</v>
      </c>
      <c r="D494" s="49" t="s">
        <v>520</v>
      </c>
      <c r="E494" s="63" t="s">
        <v>49</v>
      </c>
      <c r="F494" s="98">
        <v>6.26040475E8</v>
      </c>
      <c r="H494" s="63">
        <v>12082.0</v>
      </c>
      <c r="I494" s="74" t="s">
        <v>50</v>
      </c>
      <c r="J494" s="23" t="s">
        <v>51</v>
      </c>
      <c r="K494" s="17">
        <v>8.30754915E9</v>
      </c>
      <c r="L494" s="49">
        <v>5000.0</v>
      </c>
      <c r="M494" s="51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7"/>
    </row>
    <row r="495">
      <c r="A495" s="63" t="s">
        <v>519</v>
      </c>
      <c r="B495" s="63" t="s">
        <v>514</v>
      </c>
      <c r="C495" s="49" t="s">
        <v>350</v>
      </c>
      <c r="D495" s="49" t="s">
        <v>520</v>
      </c>
      <c r="E495" s="63" t="s">
        <v>49</v>
      </c>
      <c r="F495" s="98">
        <v>6.26040476E8</v>
      </c>
      <c r="H495" s="63">
        <v>12082.0</v>
      </c>
      <c r="I495" s="74" t="s">
        <v>50</v>
      </c>
      <c r="J495" s="23" t="s">
        <v>51</v>
      </c>
      <c r="K495" s="17">
        <v>8.30754915E9</v>
      </c>
      <c r="L495" s="49">
        <v>1500.0</v>
      </c>
      <c r="M495" s="51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7"/>
    </row>
    <row r="496">
      <c r="A496" s="63" t="s">
        <v>519</v>
      </c>
      <c r="B496" s="63" t="s">
        <v>514</v>
      </c>
      <c r="C496" s="49" t="s">
        <v>57</v>
      </c>
      <c r="D496" s="49" t="s">
        <v>521</v>
      </c>
      <c r="E496" s="63" t="s">
        <v>49</v>
      </c>
      <c r="F496" s="98">
        <v>6.26040479E8</v>
      </c>
      <c r="H496" s="63">
        <v>12083.0</v>
      </c>
      <c r="I496" s="74" t="s">
        <v>80</v>
      </c>
      <c r="J496" s="23" t="s">
        <v>51</v>
      </c>
      <c r="K496" s="140">
        <v>9.813490253E9</v>
      </c>
      <c r="L496" s="49">
        <v>10822.0</v>
      </c>
      <c r="M496" s="51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7"/>
    </row>
    <row r="497">
      <c r="A497" s="63" t="s">
        <v>519</v>
      </c>
      <c r="B497" s="63" t="s">
        <v>519</v>
      </c>
      <c r="C497" s="42" t="s">
        <v>112</v>
      </c>
      <c r="D497" s="63" t="s">
        <v>522</v>
      </c>
      <c r="E497" s="51"/>
      <c r="F497" s="63">
        <v>6.2604048E8</v>
      </c>
      <c r="G497" s="49"/>
      <c r="H497" s="42" t="s">
        <v>29</v>
      </c>
      <c r="I497" s="20" t="s">
        <v>63</v>
      </c>
      <c r="J497" s="23" t="s">
        <v>64</v>
      </c>
      <c r="K497" s="23">
        <v>9.779272314E9</v>
      </c>
      <c r="L497" s="63">
        <v>5.0</v>
      </c>
      <c r="M497" s="51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7"/>
    </row>
    <row r="498">
      <c r="A498" s="63" t="s">
        <v>519</v>
      </c>
      <c r="B498" s="63" t="s">
        <v>497</v>
      </c>
      <c r="C498" s="141" t="s">
        <v>18</v>
      </c>
      <c r="D498" s="141" t="s">
        <v>146</v>
      </c>
      <c r="E498" s="63" t="s">
        <v>20</v>
      </c>
      <c r="F498" s="142">
        <v>6.26040466E8</v>
      </c>
      <c r="G498" s="143">
        <v>6.0426013E8</v>
      </c>
      <c r="H498" s="63">
        <v>1775.0</v>
      </c>
      <c r="I498" s="74" t="s">
        <v>523</v>
      </c>
      <c r="J498" s="42" t="s">
        <v>408</v>
      </c>
      <c r="K498" s="42">
        <v>8.085866857E9</v>
      </c>
      <c r="L498" s="144">
        <v>0.0</v>
      </c>
      <c r="Q498" s="141"/>
      <c r="R498" s="141" t="s">
        <v>496</v>
      </c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7"/>
    </row>
    <row r="499">
      <c r="A499" s="63" t="s">
        <v>519</v>
      </c>
      <c r="B499" s="63" t="s">
        <v>514</v>
      </c>
      <c r="C499" s="141" t="s">
        <v>18</v>
      </c>
      <c r="D499" s="141" t="s">
        <v>146</v>
      </c>
      <c r="E499" s="63" t="s">
        <v>20</v>
      </c>
      <c r="F499" s="100" t="s">
        <v>491</v>
      </c>
      <c r="G499" s="143">
        <v>6.04260131E8</v>
      </c>
      <c r="H499" s="63">
        <v>1775.0</v>
      </c>
      <c r="I499" s="74" t="s">
        <v>523</v>
      </c>
      <c r="J499" s="42" t="s">
        <v>408</v>
      </c>
      <c r="K499" s="42">
        <v>8.085866857E9</v>
      </c>
      <c r="L499" s="63">
        <v>11310.0</v>
      </c>
      <c r="M499" s="51"/>
      <c r="N499" s="6"/>
      <c r="O499" s="6"/>
      <c r="P499" s="6"/>
      <c r="Q499" s="6"/>
      <c r="R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7"/>
    </row>
    <row r="500">
      <c r="A500" s="63" t="s">
        <v>519</v>
      </c>
      <c r="B500" s="63" t="s">
        <v>514</v>
      </c>
      <c r="C500" s="141" t="s">
        <v>18</v>
      </c>
      <c r="D500" s="141" t="s">
        <v>146</v>
      </c>
      <c r="E500" s="63" t="s">
        <v>20</v>
      </c>
      <c r="F500" s="100" t="s">
        <v>491</v>
      </c>
      <c r="G500" s="143">
        <v>6.04260132E8</v>
      </c>
      <c r="H500" s="63">
        <v>1775.0</v>
      </c>
      <c r="I500" s="74" t="s">
        <v>523</v>
      </c>
      <c r="J500" s="42" t="s">
        <v>408</v>
      </c>
      <c r="K500" s="42">
        <v>8.085866857E9</v>
      </c>
      <c r="L500" s="63">
        <v>500.0</v>
      </c>
      <c r="M500" s="51"/>
      <c r="N500" s="6"/>
      <c r="O500" s="6"/>
      <c r="P500" s="6"/>
      <c r="Q500" s="6"/>
      <c r="R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7"/>
    </row>
    <row r="501">
      <c r="A501" s="63" t="s">
        <v>519</v>
      </c>
      <c r="B501" s="63" t="s">
        <v>514</v>
      </c>
      <c r="C501" s="141" t="s">
        <v>18</v>
      </c>
      <c r="D501" s="141" t="s">
        <v>146</v>
      </c>
      <c r="E501" s="63" t="s">
        <v>20</v>
      </c>
      <c r="F501" s="100" t="s">
        <v>491</v>
      </c>
      <c r="G501" s="143">
        <v>6.04260133E8</v>
      </c>
      <c r="H501" s="63">
        <v>1775.0</v>
      </c>
      <c r="I501" s="74" t="s">
        <v>523</v>
      </c>
      <c r="J501" s="42" t="s">
        <v>408</v>
      </c>
      <c r="K501" s="42">
        <v>8.085866857E9</v>
      </c>
      <c r="L501" s="63">
        <v>3190.0</v>
      </c>
      <c r="M501" s="51"/>
      <c r="N501" s="6"/>
      <c r="O501" s="6"/>
      <c r="P501" s="6"/>
      <c r="Q501" s="6"/>
      <c r="R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7"/>
    </row>
    <row r="502">
      <c r="A502" s="63" t="s">
        <v>519</v>
      </c>
      <c r="B502" s="63" t="s">
        <v>514</v>
      </c>
      <c r="C502" s="141" t="s">
        <v>18</v>
      </c>
      <c r="D502" s="141" t="s">
        <v>146</v>
      </c>
      <c r="E502" s="63" t="s">
        <v>20</v>
      </c>
      <c r="F502" s="100" t="s">
        <v>491</v>
      </c>
      <c r="G502" s="143">
        <v>6.04260134E8</v>
      </c>
      <c r="H502" s="63">
        <v>1775.0</v>
      </c>
      <c r="I502" s="74" t="s">
        <v>523</v>
      </c>
      <c r="J502" s="42" t="s">
        <v>408</v>
      </c>
      <c r="K502" s="42">
        <v>8.085866857E9</v>
      </c>
      <c r="L502" s="63">
        <v>3040.0</v>
      </c>
      <c r="M502" s="51"/>
      <c r="N502" s="6"/>
      <c r="O502" s="6"/>
      <c r="P502" s="6"/>
      <c r="Q502" s="6"/>
      <c r="R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7"/>
    </row>
    <row r="503">
      <c r="A503" s="63" t="s">
        <v>519</v>
      </c>
      <c r="B503" s="141" t="s">
        <v>448</v>
      </c>
      <c r="C503" s="141" t="s">
        <v>168</v>
      </c>
      <c r="D503" s="141" t="s">
        <v>169</v>
      </c>
      <c r="E503" s="63" t="s">
        <v>27</v>
      </c>
      <c r="F503" s="141">
        <v>6.2604038E8</v>
      </c>
      <c r="G503" s="143">
        <v>6.04260135E8</v>
      </c>
      <c r="H503" s="69" t="s">
        <v>75</v>
      </c>
      <c r="I503" s="70" t="s">
        <v>119</v>
      </c>
      <c r="J503" s="69" t="s">
        <v>31</v>
      </c>
      <c r="K503" s="23">
        <v>9.896437186E9</v>
      </c>
      <c r="L503" s="145">
        <v>10000.0</v>
      </c>
      <c r="Q503" s="141"/>
      <c r="R503" s="141" t="s">
        <v>496</v>
      </c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7"/>
    </row>
    <row r="504">
      <c r="A504" s="6"/>
      <c r="B504" s="83"/>
      <c r="C504" s="49"/>
      <c r="D504" s="49"/>
      <c r="E504" s="51"/>
      <c r="F504" s="49"/>
      <c r="G504" s="51"/>
      <c r="I504" s="51"/>
      <c r="J504" s="6"/>
      <c r="K504" s="6"/>
      <c r="L504" s="86"/>
      <c r="M504" s="51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7"/>
    </row>
    <row r="505">
      <c r="A505" s="6"/>
      <c r="B505" s="83"/>
      <c r="C505" s="49"/>
      <c r="D505" s="49"/>
      <c r="E505" s="51"/>
      <c r="F505" s="49"/>
      <c r="G505" s="51"/>
      <c r="I505" s="51"/>
      <c r="J505" s="6"/>
      <c r="K505" s="6"/>
      <c r="L505" s="81">
        <f>SUM(L492:L504)</f>
        <v>62317</v>
      </c>
      <c r="M505" s="51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7"/>
    </row>
    <row r="506">
      <c r="A506" s="6"/>
      <c r="B506" s="83"/>
      <c r="C506" s="49"/>
      <c r="D506" s="49"/>
      <c r="E506" s="51"/>
      <c r="F506" s="49"/>
      <c r="G506" s="51"/>
      <c r="I506" s="51"/>
      <c r="J506" s="6"/>
      <c r="K506" s="6"/>
      <c r="L506" s="86"/>
      <c r="M506" s="51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7"/>
    </row>
    <row r="507">
      <c r="A507" s="108" t="s">
        <v>524</v>
      </c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4"/>
      <c r="P507" s="2"/>
      <c r="Q507" s="5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ht="38.25" customHeight="1">
      <c r="A508" s="90" t="s">
        <v>0</v>
      </c>
      <c r="B508" s="90" t="s">
        <v>1</v>
      </c>
      <c r="C508" s="91" t="s">
        <v>2</v>
      </c>
      <c r="D508" s="91" t="s">
        <v>3</v>
      </c>
      <c r="E508" s="91" t="s">
        <v>4</v>
      </c>
      <c r="F508" s="91" t="s">
        <v>5</v>
      </c>
      <c r="G508" s="91" t="s">
        <v>6</v>
      </c>
      <c r="H508" s="91" t="s">
        <v>7</v>
      </c>
      <c r="I508" s="91" t="s">
        <v>8</v>
      </c>
      <c r="J508" s="91" t="s">
        <v>9</v>
      </c>
      <c r="K508" s="92" t="s">
        <v>10</v>
      </c>
      <c r="L508" s="93" t="s">
        <v>11</v>
      </c>
      <c r="M508" s="91" t="s">
        <v>12</v>
      </c>
      <c r="N508" s="91" t="s">
        <v>13</v>
      </c>
      <c r="O508" s="94" t="s">
        <v>14</v>
      </c>
      <c r="P508" s="95" t="s">
        <v>15</v>
      </c>
      <c r="Q508" s="91" t="s">
        <v>16</v>
      </c>
      <c r="R508" s="96"/>
      <c r="S508" s="96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7"/>
      <c r="AM508" s="97"/>
      <c r="AN508" s="97"/>
      <c r="AO508" s="97"/>
      <c r="AP508" s="97"/>
      <c r="AQ508" s="97"/>
      <c r="AR508" s="97"/>
      <c r="AS508" s="97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97"/>
    </row>
    <row r="509">
      <c r="A509" s="63" t="s">
        <v>524</v>
      </c>
      <c r="B509" s="63" t="s">
        <v>514</v>
      </c>
      <c r="C509" s="63" t="s">
        <v>473</v>
      </c>
      <c r="D509" s="63" t="s">
        <v>525</v>
      </c>
      <c r="E509" s="63" t="s">
        <v>27</v>
      </c>
      <c r="F509" s="63" t="s">
        <v>491</v>
      </c>
      <c r="G509" s="63" t="s">
        <v>526</v>
      </c>
      <c r="H509" s="42" t="s">
        <v>29</v>
      </c>
      <c r="I509" s="20" t="s">
        <v>30</v>
      </c>
      <c r="J509" s="17" t="s">
        <v>31</v>
      </c>
      <c r="K509" s="17">
        <v>9.872987038E9</v>
      </c>
      <c r="L509" s="65">
        <v>14785.5</v>
      </c>
      <c r="Q509" s="49" t="s">
        <v>425</v>
      </c>
      <c r="R509" s="49" t="s">
        <v>527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>
      <c r="A510" s="63" t="s">
        <v>524</v>
      </c>
      <c r="B510" s="49" t="s">
        <v>519</v>
      </c>
      <c r="C510" s="49" t="s">
        <v>163</v>
      </c>
      <c r="D510" s="49" t="s">
        <v>164</v>
      </c>
      <c r="E510" s="63" t="s">
        <v>54</v>
      </c>
      <c r="F510" s="98">
        <v>6.26040493E8</v>
      </c>
      <c r="H510" s="63">
        <v>1154.0</v>
      </c>
      <c r="I510" s="47" t="s">
        <v>173</v>
      </c>
      <c r="J510" s="17" t="s">
        <v>141</v>
      </c>
      <c r="K510" s="42">
        <v>8.053649385E9</v>
      </c>
      <c r="L510" s="49">
        <v>5500.0</v>
      </c>
      <c r="M510" s="51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7"/>
    </row>
    <row r="511">
      <c r="A511" s="85" t="s">
        <v>524</v>
      </c>
      <c r="B511" s="85" t="s">
        <v>524</v>
      </c>
      <c r="C511" s="87" t="s">
        <v>163</v>
      </c>
      <c r="D511" s="87" t="s">
        <v>164</v>
      </c>
      <c r="E511" s="85" t="s">
        <v>54</v>
      </c>
      <c r="F511" s="100">
        <v>6.26040498E8</v>
      </c>
      <c r="G511" s="146"/>
      <c r="H511" s="85">
        <v>1154.0</v>
      </c>
      <c r="I511" s="131" t="s">
        <v>173</v>
      </c>
      <c r="J511" s="88" t="s">
        <v>141</v>
      </c>
      <c r="K511" s="131">
        <v>8.053649385E9</v>
      </c>
      <c r="L511" s="147">
        <v>0.0</v>
      </c>
      <c r="M511" s="133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  <c r="AN511" s="134"/>
      <c r="AO511" s="134"/>
      <c r="AP511" s="134"/>
      <c r="AQ511" s="134"/>
      <c r="AR511" s="134"/>
      <c r="AS511" s="134"/>
      <c r="AT511" s="134"/>
      <c r="AU511" s="134"/>
      <c r="AV511" s="134"/>
      <c r="AW511" s="134"/>
      <c r="AX511" s="134"/>
      <c r="AY511" s="134"/>
      <c r="AZ511" s="134"/>
      <c r="BA511" s="134"/>
      <c r="BB511" s="134"/>
      <c r="BC511" s="134"/>
      <c r="BD511" s="134"/>
    </row>
    <row r="512">
      <c r="A512" s="63" t="s">
        <v>524</v>
      </c>
      <c r="B512" s="63" t="s">
        <v>514</v>
      </c>
      <c r="C512" s="49" t="s">
        <v>528</v>
      </c>
      <c r="D512" s="63" t="s">
        <v>529</v>
      </c>
      <c r="E512" s="63" t="s">
        <v>233</v>
      </c>
      <c r="F512" s="98">
        <v>6.26040478E8</v>
      </c>
      <c r="H512" s="63" t="s">
        <v>530</v>
      </c>
      <c r="I512" s="74" t="s">
        <v>531</v>
      </c>
      <c r="J512" s="63" t="s">
        <v>412</v>
      </c>
      <c r="K512" s="42">
        <v>8.396839329E9</v>
      </c>
      <c r="L512" s="49">
        <v>1263.0</v>
      </c>
      <c r="M512" s="51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7"/>
    </row>
    <row r="513">
      <c r="A513" s="63" t="s">
        <v>524</v>
      </c>
      <c r="B513" s="49" t="s">
        <v>519</v>
      </c>
      <c r="C513" s="63" t="s">
        <v>473</v>
      </c>
      <c r="D513" s="49" t="s">
        <v>532</v>
      </c>
      <c r="E513" s="63" t="s">
        <v>198</v>
      </c>
      <c r="F513" s="100" t="s">
        <v>491</v>
      </c>
      <c r="G513" s="49">
        <v>7.04260677E8</v>
      </c>
      <c r="H513" s="63">
        <v>45425.0</v>
      </c>
      <c r="I513" s="74" t="s">
        <v>533</v>
      </c>
      <c r="J513" s="63" t="s">
        <v>200</v>
      </c>
      <c r="K513" s="63">
        <v>9.599891437E9</v>
      </c>
      <c r="L513" s="65">
        <v>7836.0</v>
      </c>
      <c r="N513" s="51"/>
      <c r="O513" s="51"/>
      <c r="P513" s="51"/>
      <c r="Q513" s="65" t="s">
        <v>425</v>
      </c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7"/>
    </row>
    <row r="514">
      <c r="A514" s="63" t="s">
        <v>524</v>
      </c>
      <c r="B514" s="49" t="s">
        <v>448</v>
      </c>
      <c r="C514" s="49" t="s">
        <v>174</v>
      </c>
      <c r="D514" s="49" t="s">
        <v>175</v>
      </c>
      <c r="E514" s="63" t="s">
        <v>88</v>
      </c>
      <c r="F514" s="98">
        <v>6.26040373E8</v>
      </c>
      <c r="G514" s="49">
        <v>6.04260136E8</v>
      </c>
      <c r="H514" s="63" t="s">
        <v>534</v>
      </c>
      <c r="I514" s="74" t="s">
        <v>535</v>
      </c>
      <c r="J514" s="63" t="s">
        <v>41</v>
      </c>
      <c r="K514" s="63">
        <v>6.26372715E9</v>
      </c>
      <c r="L514" s="65">
        <v>13400.0</v>
      </c>
      <c r="Q514" s="65" t="s">
        <v>224</v>
      </c>
      <c r="R514" s="65"/>
      <c r="S514" s="65" t="s">
        <v>536</v>
      </c>
      <c r="T514" s="51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7"/>
    </row>
    <row r="515">
      <c r="A515" s="63" t="s">
        <v>524</v>
      </c>
      <c r="B515" s="49" t="s">
        <v>448</v>
      </c>
      <c r="C515" s="49" t="s">
        <v>174</v>
      </c>
      <c r="D515" s="49" t="s">
        <v>175</v>
      </c>
      <c r="E515" s="63" t="s">
        <v>88</v>
      </c>
      <c r="F515" s="98">
        <v>6.26040374E8</v>
      </c>
      <c r="G515" s="49">
        <v>6.04260136E8</v>
      </c>
      <c r="H515" s="63" t="s">
        <v>534</v>
      </c>
      <c r="I515" s="74" t="s">
        <v>535</v>
      </c>
      <c r="J515" s="63" t="s">
        <v>41</v>
      </c>
      <c r="K515" s="63">
        <v>6.26372715E9</v>
      </c>
      <c r="L515" s="65">
        <v>5200.0</v>
      </c>
      <c r="Q515" s="65" t="s">
        <v>224</v>
      </c>
      <c r="R515" s="65"/>
      <c r="S515" s="65" t="s">
        <v>536</v>
      </c>
      <c r="T515" s="51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7"/>
    </row>
    <row r="516">
      <c r="A516" s="63" t="s">
        <v>524</v>
      </c>
      <c r="B516" s="63" t="s">
        <v>524</v>
      </c>
      <c r="C516" s="49" t="s">
        <v>174</v>
      </c>
      <c r="D516" s="49" t="s">
        <v>175</v>
      </c>
      <c r="E516" s="63" t="s">
        <v>88</v>
      </c>
      <c r="F516" s="100" t="s">
        <v>491</v>
      </c>
      <c r="G516" s="63">
        <v>6.04260137E8</v>
      </c>
      <c r="H516" s="63" t="s">
        <v>534</v>
      </c>
      <c r="I516" s="74" t="s">
        <v>535</v>
      </c>
      <c r="J516" s="63" t="s">
        <v>41</v>
      </c>
      <c r="K516" s="63">
        <v>6.26372715E9</v>
      </c>
      <c r="L516" s="79">
        <v>4000.0</v>
      </c>
      <c r="Q516" s="65"/>
      <c r="R516" s="65"/>
      <c r="S516" s="65"/>
      <c r="T516" s="63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7"/>
    </row>
    <row r="517">
      <c r="A517" s="63" t="s">
        <v>524</v>
      </c>
      <c r="B517" s="49" t="s">
        <v>519</v>
      </c>
      <c r="C517" s="49" t="s">
        <v>204</v>
      </c>
      <c r="D517" s="49" t="s">
        <v>205</v>
      </c>
      <c r="E517" s="63" t="s">
        <v>172</v>
      </c>
      <c r="F517" s="98">
        <v>6.26040487E8</v>
      </c>
      <c r="H517" s="63">
        <v>11469.0</v>
      </c>
      <c r="I517" s="74" t="s">
        <v>402</v>
      </c>
      <c r="J517" s="42" t="s">
        <v>537</v>
      </c>
      <c r="K517" s="42">
        <v>9.23501253E9</v>
      </c>
      <c r="L517" s="65">
        <v>11420.0</v>
      </c>
      <c r="M517" s="51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7"/>
    </row>
    <row r="518">
      <c r="A518" s="63" t="s">
        <v>524</v>
      </c>
      <c r="B518" s="49" t="s">
        <v>519</v>
      </c>
      <c r="C518" s="49" t="s">
        <v>204</v>
      </c>
      <c r="D518" s="49" t="s">
        <v>205</v>
      </c>
      <c r="E518" s="63" t="s">
        <v>172</v>
      </c>
      <c r="F518" s="98">
        <v>6.2604049E8</v>
      </c>
      <c r="H518" s="63">
        <v>11469.0</v>
      </c>
      <c r="I518" s="74" t="s">
        <v>402</v>
      </c>
      <c r="J518" s="42" t="s">
        <v>537</v>
      </c>
      <c r="K518" s="42">
        <v>9.23501253E9</v>
      </c>
      <c r="L518" s="49">
        <v>860.0</v>
      </c>
      <c r="Q518" s="51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7"/>
    </row>
    <row r="519">
      <c r="A519" s="63" t="s">
        <v>524</v>
      </c>
      <c r="B519" s="49" t="s">
        <v>519</v>
      </c>
      <c r="C519" s="49" t="s">
        <v>57</v>
      </c>
      <c r="D519" s="49" t="s">
        <v>483</v>
      </c>
      <c r="E519" s="63" t="s">
        <v>49</v>
      </c>
      <c r="F519" s="98">
        <v>6.26040492E8</v>
      </c>
      <c r="H519" s="63">
        <v>12084.0</v>
      </c>
      <c r="I519" s="74" t="s">
        <v>389</v>
      </c>
      <c r="J519" s="23" t="s">
        <v>51</v>
      </c>
      <c r="K519" s="140">
        <v>9.813490253E9</v>
      </c>
      <c r="L519" s="49">
        <v>0.0</v>
      </c>
      <c r="M519" s="51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7"/>
    </row>
    <row r="520">
      <c r="A520" s="63" t="s">
        <v>524</v>
      </c>
      <c r="B520" s="49" t="s">
        <v>519</v>
      </c>
      <c r="C520" s="49" t="s">
        <v>57</v>
      </c>
      <c r="D520" s="49" t="s">
        <v>483</v>
      </c>
      <c r="E520" s="63" t="s">
        <v>49</v>
      </c>
      <c r="F520" s="98">
        <v>6.26040494E8</v>
      </c>
      <c r="H520" s="63">
        <v>12084.0</v>
      </c>
      <c r="I520" s="74" t="s">
        <v>389</v>
      </c>
      <c r="J520" s="23" t="s">
        <v>51</v>
      </c>
      <c r="K520" s="140">
        <v>9.813490253E9</v>
      </c>
      <c r="L520" s="49">
        <v>480.0</v>
      </c>
      <c r="M520" s="51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7"/>
    </row>
    <row r="521">
      <c r="A521" s="63" t="s">
        <v>524</v>
      </c>
      <c r="B521" s="49" t="s">
        <v>519</v>
      </c>
      <c r="C521" s="49" t="s">
        <v>57</v>
      </c>
      <c r="D521" s="49" t="s">
        <v>483</v>
      </c>
      <c r="E521" s="63" t="s">
        <v>49</v>
      </c>
      <c r="F521" s="98">
        <v>6.26040495E8</v>
      </c>
      <c r="H521" s="63">
        <v>12084.0</v>
      </c>
      <c r="I521" s="74" t="s">
        <v>389</v>
      </c>
      <c r="J521" s="23" t="s">
        <v>51</v>
      </c>
      <c r="K521" s="140">
        <v>9.813490253E9</v>
      </c>
      <c r="L521" s="49">
        <v>38.0</v>
      </c>
      <c r="M521" s="51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7"/>
    </row>
    <row r="522">
      <c r="A522" s="63" t="s">
        <v>524</v>
      </c>
      <c r="B522" s="49" t="s">
        <v>519</v>
      </c>
      <c r="C522" s="49" t="s">
        <v>57</v>
      </c>
      <c r="D522" s="49" t="s">
        <v>483</v>
      </c>
      <c r="E522" s="63" t="s">
        <v>49</v>
      </c>
      <c r="F522" s="98">
        <v>6.26040496E8</v>
      </c>
      <c r="H522" s="63">
        <v>12084.0</v>
      </c>
      <c r="I522" s="74" t="s">
        <v>389</v>
      </c>
      <c r="J522" s="23" t="s">
        <v>51</v>
      </c>
      <c r="K522" s="140">
        <v>9.813490253E9</v>
      </c>
      <c r="L522" s="65">
        <v>10070.0</v>
      </c>
      <c r="M522" s="51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7"/>
    </row>
    <row r="523">
      <c r="A523" s="63" t="s">
        <v>524</v>
      </c>
      <c r="B523" s="63" t="s">
        <v>524</v>
      </c>
      <c r="C523" s="63" t="s">
        <v>473</v>
      </c>
      <c r="D523" s="63" t="s">
        <v>525</v>
      </c>
      <c r="E523" s="63" t="s">
        <v>27</v>
      </c>
      <c r="F523" s="63" t="s">
        <v>491</v>
      </c>
      <c r="G523" s="63" t="s">
        <v>538</v>
      </c>
      <c r="H523" s="49" t="s">
        <v>75</v>
      </c>
      <c r="I523" s="74" t="s">
        <v>208</v>
      </c>
      <c r="J523" s="51" t="s">
        <v>31</v>
      </c>
      <c r="K523" s="63">
        <v>9.781016497E9</v>
      </c>
      <c r="L523" s="79">
        <v>10219.0</v>
      </c>
      <c r="P523" s="51"/>
      <c r="Q523" s="65" t="s">
        <v>425</v>
      </c>
      <c r="R523" s="65"/>
      <c r="S523" s="79" t="s">
        <v>539</v>
      </c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7"/>
    </row>
    <row r="524">
      <c r="A524" s="63" t="s">
        <v>524</v>
      </c>
      <c r="B524" s="49" t="s">
        <v>519</v>
      </c>
      <c r="C524" s="63" t="s">
        <v>473</v>
      </c>
      <c r="D524" s="63" t="s">
        <v>540</v>
      </c>
      <c r="E524" s="63" t="s">
        <v>27</v>
      </c>
      <c r="F524" s="63" t="s">
        <v>491</v>
      </c>
      <c r="G524" s="98">
        <v>7.04260692E8</v>
      </c>
      <c r="H524" s="42">
        <v>3147.0</v>
      </c>
      <c r="I524" s="20" t="s">
        <v>372</v>
      </c>
      <c r="J524" s="72" t="s">
        <v>373</v>
      </c>
      <c r="K524" s="72">
        <v>8.684015172E9</v>
      </c>
      <c r="L524" s="65">
        <v>1458.0</v>
      </c>
      <c r="Q524" s="65" t="s">
        <v>425</v>
      </c>
      <c r="R524" s="65"/>
      <c r="S524" s="65" t="s">
        <v>541</v>
      </c>
      <c r="T524" s="51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7"/>
    </row>
    <row r="525">
      <c r="A525" s="63" t="s">
        <v>524</v>
      </c>
      <c r="B525" s="49" t="s">
        <v>519</v>
      </c>
      <c r="C525" s="49" t="s">
        <v>542</v>
      </c>
      <c r="D525" s="49" t="s">
        <v>543</v>
      </c>
      <c r="E525" s="63" t="s">
        <v>54</v>
      </c>
      <c r="F525" s="98">
        <v>6.26040485E8</v>
      </c>
      <c r="H525" s="63">
        <v>6754.0</v>
      </c>
      <c r="I525" s="52" t="s">
        <v>114</v>
      </c>
      <c r="J525" s="17" t="s">
        <v>56</v>
      </c>
      <c r="K525" s="17">
        <v>9.956958533E9</v>
      </c>
      <c r="L525" s="65">
        <v>3860.0</v>
      </c>
      <c r="M525" s="51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7"/>
    </row>
    <row r="526">
      <c r="A526" s="63" t="s">
        <v>524</v>
      </c>
      <c r="B526" s="49" t="s">
        <v>519</v>
      </c>
      <c r="C526" s="49" t="s">
        <v>122</v>
      </c>
      <c r="D526" s="49" t="s">
        <v>123</v>
      </c>
      <c r="E526" s="63" t="s">
        <v>54</v>
      </c>
      <c r="F526" s="98">
        <v>6.26040497E8</v>
      </c>
      <c r="H526" s="63">
        <v>6755.0</v>
      </c>
      <c r="I526" s="52" t="s">
        <v>114</v>
      </c>
      <c r="J526" s="17" t="s">
        <v>56</v>
      </c>
      <c r="K526" s="17">
        <v>9.956958533E9</v>
      </c>
      <c r="L526" s="65">
        <v>1689.0</v>
      </c>
      <c r="M526" s="51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7"/>
    </row>
    <row r="527">
      <c r="A527" s="63" t="s">
        <v>524</v>
      </c>
      <c r="B527" s="49" t="s">
        <v>519</v>
      </c>
      <c r="C527" s="63" t="s">
        <v>473</v>
      </c>
      <c r="D527" s="63" t="s">
        <v>525</v>
      </c>
      <c r="E527" s="63" t="s">
        <v>27</v>
      </c>
      <c r="F527" s="100" t="s">
        <v>491</v>
      </c>
      <c r="G527" s="49" t="s">
        <v>544</v>
      </c>
      <c r="H527" s="63" t="s">
        <v>545</v>
      </c>
      <c r="I527" s="74" t="s">
        <v>546</v>
      </c>
      <c r="J527" s="63" t="s">
        <v>41</v>
      </c>
      <c r="K527" s="63">
        <v>9.51819646E9</v>
      </c>
      <c r="L527" s="65">
        <v>6602.0</v>
      </c>
      <c r="Q527" s="65" t="s">
        <v>425</v>
      </c>
      <c r="R527" s="65"/>
      <c r="S527" s="65" t="s">
        <v>547</v>
      </c>
      <c r="T527" s="63" t="s">
        <v>548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7"/>
    </row>
    <row r="528">
      <c r="A528" s="63" t="s">
        <v>524</v>
      </c>
      <c r="B528" s="49" t="s">
        <v>519</v>
      </c>
      <c r="C528" s="63" t="s">
        <v>473</v>
      </c>
      <c r="D528" s="63" t="s">
        <v>525</v>
      </c>
      <c r="E528" s="63" t="s">
        <v>27</v>
      </c>
      <c r="F528" s="100" t="s">
        <v>491</v>
      </c>
      <c r="G528" s="63">
        <v>7.04260694E8</v>
      </c>
      <c r="H528" s="63" t="s">
        <v>545</v>
      </c>
      <c r="I528" s="74" t="s">
        <v>546</v>
      </c>
      <c r="J528" s="63" t="s">
        <v>41</v>
      </c>
      <c r="K528" s="63">
        <v>9.51819646E9</v>
      </c>
      <c r="L528" s="63">
        <v>8420.0</v>
      </c>
      <c r="Q528" s="49"/>
      <c r="R528" s="51"/>
      <c r="S528" s="65" t="s">
        <v>547</v>
      </c>
      <c r="T528" s="51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7"/>
    </row>
    <row r="529">
      <c r="A529" s="63" t="s">
        <v>524</v>
      </c>
      <c r="B529" s="49" t="s">
        <v>519</v>
      </c>
      <c r="C529" s="63" t="s">
        <v>473</v>
      </c>
      <c r="D529" s="63" t="s">
        <v>525</v>
      </c>
      <c r="E529" s="63" t="s">
        <v>27</v>
      </c>
      <c r="F529" s="63" t="s">
        <v>491</v>
      </c>
      <c r="G529" s="63" t="s">
        <v>549</v>
      </c>
      <c r="H529" s="76" t="s">
        <v>29</v>
      </c>
      <c r="I529" s="74" t="s">
        <v>96</v>
      </c>
      <c r="J529" s="42" t="s">
        <v>31</v>
      </c>
      <c r="K529" s="42">
        <v>9.779272314E9</v>
      </c>
      <c r="L529" s="65">
        <v>9486.0</v>
      </c>
      <c r="Q529" s="65" t="s">
        <v>425</v>
      </c>
      <c r="R529" s="65"/>
      <c r="S529" s="65" t="s">
        <v>550</v>
      </c>
      <c r="T529" s="51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7"/>
    </row>
    <row r="530">
      <c r="A530" s="63"/>
      <c r="B530" s="49"/>
      <c r="C530" s="49"/>
      <c r="D530" s="49"/>
      <c r="E530" s="49"/>
      <c r="F530" s="49"/>
      <c r="G530" s="51"/>
      <c r="H530" s="51"/>
      <c r="I530" s="49"/>
      <c r="J530" s="49"/>
      <c r="K530" s="51"/>
      <c r="L530" s="49"/>
      <c r="M530" s="51"/>
      <c r="N530" s="51"/>
      <c r="O530" s="51"/>
      <c r="P530" s="51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7"/>
    </row>
    <row r="531">
      <c r="A531" s="63"/>
      <c r="B531" s="63"/>
      <c r="C531" s="49"/>
      <c r="D531" s="49"/>
      <c r="E531" s="63"/>
      <c r="F531" s="49"/>
      <c r="I531" s="51"/>
      <c r="J531" s="63"/>
      <c r="K531" s="6"/>
      <c r="L531" s="148">
        <f>SUM(L509:L530)</f>
        <v>116586.5</v>
      </c>
      <c r="M531" s="51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7"/>
    </row>
    <row r="532">
      <c r="A532" s="63"/>
      <c r="B532" s="63"/>
      <c r="C532" s="49"/>
      <c r="D532" s="49"/>
      <c r="E532" s="63"/>
      <c r="F532" s="49"/>
      <c r="I532" s="51"/>
      <c r="J532" s="63"/>
      <c r="K532" s="6"/>
      <c r="L532" s="123"/>
      <c r="M532" s="51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7"/>
    </row>
    <row r="533">
      <c r="A533" s="1">
        <v>46058.0</v>
      </c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4"/>
      <c r="P533" s="2"/>
      <c r="Q533" s="5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ht="38.25" customHeight="1">
      <c r="A534" s="90" t="s">
        <v>0</v>
      </c>
      <c r="B534" s="90" t="s">
        <v>1</v>
      </c>
      <c r="C534" s="91" t="s">
        <v>2</v>
      </c>
      <c r="D534" s="91" t="s">
        <v>3</v>
      </c>
      <c r="E534" s="91" t="s">
        <v>4</v>
      </c>
      <c r="F534" s="91" t="s">
        <v>5</v>
      </c>
      <c r="G534" s="91" t="s">
        <v>6</v>
      </c>
      <c r="H534" s="91" t="s">
        <v>7</v>
      </c>
      <c r="I534" s="91" t="s">
        <v>8</v>
      </c>
      <c r="J534" s="91" t="s">
        <v>9</v>
      </c>
      <c r="K534" s="92" t="s">
        <v>10</v>
      </c>
      <c r="L534" s="93" t="s">
        <v>11</v>
      </c>
      <c r="M534" s="91" t="s">
        <v>12</v>
      </c>
      <c r="N534" s="91" t="s">
        <v>13</v>
      </c>
      <c r="O534" s="94" t="s">
        <v>14</v>
      </c>
      <c r="P534" s="95" t="s">
        <v>15</v>
      </c>
      <c r="Q534" s="91" t="s">
        <v>16</v>
      </c>
      <c r="R534" s="96"/>
      <c r="S534" s="96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  <c r="AL534" s="97"/>
      <c r="AM534" s="97"/>
      <c r="AN534" s="97"/>
      <c r="AO534" s="97"/>
      <c r="AP534" s="97"/>
      <c r="AQ534" s="97"/>
      <c r="AR534" s="97"/>
      <c r="AS534" s="97"/>
      <c r="AT534" s="97"/>
      <c r="AU534" s="97"/>
      <c r="AV534" s="97"/>
      <c r="AW534" s="97"/>
      <c r="AX534" s="97"/>
      <c r="AY534" s="97"/>
      <c r="AZ534" s="97"/>
      <c r="BA534" s="97"/>
      <c r="BB534" s="97"/>
      <c r="BC534" s="97"/>
      <c r="BD534" s="97"/>
    </row>
    <row r="535">
      <c r="A535" s="121">
        <v>46058.0</v>
      </c>
      <c r="B535" s="49" t="s">
        <v>524</v>
      </c>
      <c r="C535" s="49" t="s">
        <v>163</v>
      </c>
      <c r="D535" s="49" t="s">
        <v>164</v>
      </c>
      <c r="E535" s="63" t="s">
        <v>54</v>
      </c>
      <c r="F535" s="98">
        <v>6.26040516E8</v>
      </c>
      <c r="H535" s="63">
        <v>1163.0</v>
      </c>
      <c r="I535" s="74" t="s">
        <v>551</v>
      </c>
      <c r="J535" s="17" t="s">
        <v>141</v>
      </c>
      <c r="K535" s="42">
        <v>8.527841332E9</v>
      </c>
      <c r="L535" s="68">
        <v>10500.0</v>
      </c>
      <c r="M535" s="51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7"/>
    </row>
    <row r="536">
      <c r="A536" s="121">
        <v>46058.0</v>
      </c>
      <c r="B536" s="49" t="s">
        <v>524</v>
      </c>
      <c r="C536" s="49" t="s">
        <v>163</v>
      </c>
      <c r="D536" s="49" t="s">
        <v>164</v>
      </c>
      <c r="E536" s="63" t="s">
        <v>54</v>
      </c>
      <c r="F536" s="98">
        <v>6.26040521E8</v>
      </c>
      <c r="H536" s="63">
        <v>1163.0</v>
      </c>
      <c r="I536" s="74" t="s">
        <v>551</v>
      </c>
      <c r="J536" s="17" t="s">
        <v>141</v>
      </c>
      <c r="K536" s="42">
        <v>8.527841332E9</v>
      </c>
      <c r="L536" s="68">
        <v>200.0</v>
      </c>
      <c r="M536" s="51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7"/>
    </row>
    <row r="537">
      <c r="A537" s="121">
        <v>46058.0</v>
      </c>
      <c r="B537" s="49" t="s">
        <v>524</v>
      </c>
      <c r="C537" s="68" t="s">
        <v>107</v>
      </c>
      <c r="D537" s="68" t="s">
        <v>108</v>
      </c>
      <c r="E537" s="138" t="s">
        <v>49</v>
      </c>
      <c r="F537" s="100" t="s">
        <v>491</v>
      </c>
      <c r="G537" s="68">
        <v>6.04260147E8</v>
      </c>
      <c r="H537" s="63">
        <v>37836.0</v>
      </c>
      <c r="I537" s="74" t="s">
        <v>552</v>
      </c>
      <c r="J537" s="63" t="s">
        <v>131</v>
      </c>
      <c r="K537" s="63">
        <v>7.018977637E9</v>
      </c>
      <c r="L537" s="68">
        <v>12760.0</v>
      </c>
      <c r="P537" s="68"/>
      <c r="Q537" s="68" t="s">
        <v>224</v>
      </c>
      <c r="R537" s="68" t="s">
        <v>553</v>
      </c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7"/>
    </row>
    <row r="538">
      <c r="A538" s="121">
        <v>46058.0</v>
      </c>
      <c r="B538" s="49" t="s">
        <v>519</v>
      </c>
      <c r="C538" s="138" t="s">
        <v>60</v>
      </c>
      <c r="D538" s="138" t="s">
        <v>490</v>
      </c>
      <c r="E538" s="138" t="s">
        <v>27</v>
      </c>
      <c r="F538" s="63" t="s">
        <v>491</v>
      </c>
      <c r="G538" s="68" t="s">
        <v>554</v>
      </c>
      <c r="H538" s="63" t="s">
        <v>75</v>
      </c>
      <c r="I538" s="70" t="s">
        <v>119</v>
      </c>
      <c r="J538" s="69" t="s">
        <v>31</v>
      </c>
      <c r="K538" s="23">
        <v>9.896437186E9</v>
      </c>
      <c r="L538" s="68">
        <v>10623.0</v>
      </c>
      <c r="P538" s="68"/>
      <c r="Q538" s="68" t="s">
        <v>425</v>
      </c>
      <c r="R538" s="68" t="s">
        <v>555</v>
      </c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7"/>
    </row>
    <row r="539">
      <c r="A539" s="121">
        <v>46058.0</v>
      </c>
      <c r="B539" s="68" t="s">
        <v>524</v>
      </c>
      <c r="C539" s="68" t="s">
        <v>163</v>
      </c>
      <c r="D539" s="68" t="s">
        <v>164</v>
      </c>
      <c r="E539" s="63" t="s">
        <v>54</v>
      </c>
      <c r="F539" s="149">
        <v>6.26040515E8</v>
      </c>
      <c r="H539" s="63">
        <v>1167.0</v>
      </c>
      <c r="I539" s="74" t="s">
        <v>215</v>
      </c>
      <c r="J539" s="17" t="s">
        <v>141</v>
      </c>
      <c r="K539" s="42">
        <v>7.01762967E9</v>
      </c>
      <c r="L539" s="68">
        <v>6450.0</v>
      </c>
      <c r="M539" s="68"/>
      <c r="N539" s="68"/>
      <c r="P539" s="68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7"/>
    </row>
    <row r="540">
      <c r="A540" s="121">
        <v>46058.0</v>
      </c>
      <c r="B540" s="49" t="s">
        <v>524</v>
      </c>
      <c r="C540" s="49" t="s">
        <v>163</v>
      </c>
      <c r="D540" s="49" t="s">
        <v>164</v>
      </c>
      <c r="E540" s="63" t="s">
        <v>54</v>
      </c>
      <c r="F540" s="98">
        <v>6.26040518E8</v>
      </c>
      <c r="H540" s="63">
        <v>1167.0</v>
      </c>
      <c r="I540" s="74" t="s">
        <v>215</v>
      </c>
      <c r="J540" s="17" t="s">
        <v>141</v>
      </c>
      <c r="K540" s="42">
        <v>7.01762967E9</v>
      </c>
      <c r="L540" s="68">
        <v>5914.0</v>
      </c>
      <c r="M540" s="51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7"/>
    </row>
    <row r="541">
      <c r="A541" s="121">
        <v>46058.0</v>
      </c>
      <c r="B541" s="49" t="s">
        <v>524</v>
      </c>
      <c r="C541" s="49" t="s">
        <v>174</v>
      </c>
      <c r="D541" s="49" t="s">
        <v>175</v>
      </c>
      <c r="E541" s="63" t="s">
        <v>88</v>
      </c>
      <c r="F541" s="49">
        <v>6.26040509E8</v>
      </c>
      <c r="H541" s="63" t="s">
        <v>556</v>
      </c>
      <c r="I541" s="74" t="s">
        <v>557</v>
      </c>
      <c r="J541" s="42" t="s">
        <v>41</v>
      </c>
      <c r="K541" s="42">
        <v>6.353726518E9</v>
      </c>
      <c r="L541" s="65">
        <v>18836.0</v>
      </c>
      <c r="M541" s="51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7"/>
    </row>
    <row r="542">
      <c r="A542" s="6"/>
      <c r="B542" s="83"/>
      <c r="C542" s="49"/>
      <c r="D542" s="49"/>
      <c r="F542" s="49"/>
      <c r="I542" s="51"/>
      <c r="J542" s="6"/>
      <c r="K542" s="6"/>
      <c r="L542" s="49"/>
      <c r="M542" s="51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7"/>
    </row>
    <row r="543">
      <c r="A543" s="6"/>
      <c r="B543" s="83"/>
      <c r="C543" s="49"/>
      <c r="D543" s="49"/>
      <c r="F543" s="49"/>
      <c r="I543" s="51"/>
      <c r="J543" s="6"/>
      <c r="K543" s="6"/>
      <c r="L543" s="150">
        <f>SUM(L535:L542)</f>
        <v>65283</v>
      </c>
      <c r="M543" s="51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7"/>
    </row>
    <row r="544">
      <c r="A544" s="1">
        <v>46086.0</v>
      </c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4"/>
      <c r="P544" s="2"/>
      <c r="Q544" s="5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ht="38.25" customHeight="1">
      <c r="A545" s="90" t="s">
        <v>0</v>
      </c>
      <c r="B545" s="90" t="s">
        <v>1</v>
      </c>
      <c r="C545" s="91" t="s">
        <v>2</v>
      </c>
      <c r="D545" s="91" t="s">
        <v>3</v>
      </c>
      <c r="E545" s="91" t="s">
        <v>4</v>
      </c>
      <c r="F545" s="91" t="s">
        <v>5</v>
      </c>
      <c r="G545" s="91" t="s">
        <v>6</v>
      </c>
      <c r="H545" s="91" t="s">
        <v>7</v>
      </c>
      <c r="I545" s="91" t="s">
        <v>8</v>
      </c>
      <c r="J545" s="91" t="s">
        <v>9</v>
      </c>
      <c r="K545" s="92" t="s">
        <v>10</v>
      </c>
      <c r="L545" s="93" t="s">
        <v>11</v>
      </c>
      <c r="M545" s="91" t="s">
        <v>12</v>
      </c>
      <c r="N545" s="91" t="s">
        <v>13</v>
      </c>
      <c r="O545" s="94" t="s">
        <v>14</v>
      </c>
      <c r="P545" s="95" t="s">
        <v>15</v>
      </c>
      <c r="Q545" s="91" t="s">
        <v>16</v>
      </c>
      <c r="R545" s="96"/>
      <c r="S545" s="96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  <c r="AL545" s="97"/>
      <c r="AM545" s="97"/>
      <c r="AN545" s="97"/>
      <c r="AO545" s="97"/>
      <c r="AP545" s="97"/>
      <c r="AQ545" s="97"/>
      <c r="AR545" s="97"/>
      <c r="AS545" s="97"/>
      <c r="AT545" s="97"/>
      <c r="AU545" s="97"/>
      <c r="AV545" s="97"/>
      <c r="AW545" s="97"/>
      <c r="AX545" s="97"/>
      <c r="AY545" s="97"/>
      <c r="AZ545" s="97"/>
      <c r="BA545" s="97"/>
      <c r="BB545" s="97"/>
      <c r="BC545" s="97"/>
      <c r="BD545" s="97"/>
    </row>
    <row r="546">
      <c r="A546" s="121">
        <v>46086.0</v>
      </c>
      <c r="B546" s="49" t="s">
        <v>524</v>
      </c>
      <c r="C546" s="49" t="s">
        <v>57</v>
      </c>
      <c r="D546" s="49" t="s">
        <v>483</v>
      </c>
      <c r="E546" s="63" t="s">
        <v>49</v>
      </c>
      <c r="F546" s="98">
        <v>6.26040505E8</v>
      </c>
      <c r="H546" s="63">
        <v>12086.0</v>
      </c>
      <c r="I546" s="74" t="s">
        <v>94</v>
      </c>
      <c r="J546" s="23" t="s">
        <v>51</v>
      </c>
      <c r="K546" s="42">
        <v>8.199059083E9</v>
      </c>
      <c r="L546" s="65">
        <v>10080.0</v>
      </c>
      <c r="M546" s="51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7"/>
    </row>
    <row r="547">
      <c r="A547" s="121">
        <v>46086.0</v>
      </c>
      <c r="B547" s="49" t="s">
        <v>524</v>
      </c>
      <c r="C547" s="49" t="s">
        <v>57</v>
      </c>
      <c r="D547" s="49" t="s">
        <v>483</v>
      </c>
      <c r="E547" s="63" t="s">
        <v>49</v>
      </c>
      <c r="F547" s="98">
        <v>6.2604051E8</v>
      </c>
      <c r="H547" s="63">
        <v>12086.0</v>
      </c>
      <c r="I547" s="74" t="s">
        <v>94</v>
      </c>
      <c r="J547" s="23" t="s">
        <v>51</v>
      </c>
      <c r="K547" s="42">
        <v>8.199059083E9</v>
      </c>
      <c r="L547" s="65">
        <v>100.0</v>
      </c>
      <c r="M547" s="51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7"/>
    </row>
    <row r="548">
      <c r="A548" s="121">
        <v>46086.0</v>
      </c>
      <c r="B548" s="83">
        <v>46058.0</v>
      </c>
      <c r="C548" s="49" t="s">
        <v>558</v>
      </c>
      <c r="D548" s="63" t="s">
        <v>559</v>
      </c>
      <c r="E548" s="63" t="s">
        <v>49</v>
      </c>
      <c r="F548" s="98">
        <v>6.26050106E8</v>
      </c>
      <c r="H548" s="63">
        <v>12087.0</v>
      </c>
      <c r="I548" s="74" t="s">
        <v>94</v>
      </c>
      <c r="J548" s="23" t="s">
        <v>51</v>
      </c>
      <c r="K548" s="42">
        <v>8.199059083E9</v>
      </c>
      <c r="L548" s="68">
        <v>4000.0</v>
      </c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</row>
    <row r="549">
      <c r="A549" s="121">
        <v>46086.0</v>
      </c>
      <c r="B549" s="49" t="s">
        <v>524</v>
      </c>
      <c r="C549" s="49" t="s">
        <v>279</v>
      </c>
      <c r="D549" s="63" t="s">
        <v>280</v>
      </c>
      <c r="E549" s="138" t="s">
        <v>49</v>
      </c>
      <c r="F549" s="98">
        <v>6.26040554E8</v>
      </c>
      <c r="G549" s="51"/>
      <c r="H549" s="63">
        <v>2681.0</v>
      </c>
      <c r="I549" s="47" t="s">
        <v>560</v>
      </c>
      <c r="J549" s="42" t="s">
        <v>137</v>
      </c>
      <c r="K549" s="42">
        <v>9.813642249E9</v>
      </c>
      <c r="L549" s="49">
        <v>750.0</v>
      </c>
      <c r="M549" s="51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7"/>
    </row>
    <row r="550">
      <c r="A550" s="121">
        <v>46086.0</v>
      </c>
      <c r="B550" s="49" t="s">
        <v>524</v>
      </c>
      <c r="C550" s="49" t="s">
        <v>279</v>
      </c>
      <c r="D550" s="63" t="s">
        <v>280</v>
      </c>
      <c r="E550" s="138" t="s">
        <v>49</v>
      </c>
      <c r="F550" s="98">
        <v>6.26040532E8</v>
      </c>
      <c r="G550" s="51"/>
      <c r="H550" s="63">
        <v>2681.0</v>
      </c>
      <c r="I550" s="47" t="s">
        <v>560</v>
      </c>
      <c r="J550" s="42" t="s">
        <v>137</v>
      </c>
      <c r="K550" s="42">
        <v>9.813642249E9</v>
      </c>
      <c r="L550" s="65">
        <v>10800.0</v>
      </c>
      <c r="M550" s="51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7"/>
    </row>
    <row r="551">
      <c r="A551" s="121">
        <v>46086.0</v>
      </c>
      <c r="B551" s="49" t="s">
        <v>524</v>
      </c>
      <c r="C551" s="49" t="s">
        <v>279</v>
      </c>
      <c r="D551" s="63" t="s">
        <v>280</v>
      </c>
      <c r="E551" s="138" t="s">
        <v>49</v>
      </c>
      <c r="F551" s="98">
        <v>6.26040538E8</v>
      </c>
      <c r="G551" s="51"/>
      <c r="H551" s="63">
        <v>2681.0</v>
      </c>
      <c r="I551" s="47" t="s">
        <v>560</v>
      </c>
      <c r="J551" s="42" t="s">
        <v>137</v>
      </c>
      <c r="K551" s="42">
        <v>9.813642249E9</v>
      </c>
      <c r="L551" s="49">
        <v>760.0</v>
      </c>
      <c r="M551" s="51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7"/>
    </row>
    <row r="552">
      <c r="A552" s="121">
        <v>46086.0</v>
      </c>
      <c r="B552" s="49" t="s">
        <v>524</v>
      </c>
      <c r="C552" s="49" t="s">
        <v>193</v>
      </c>
      <c r="D552" s="63" t="s">
        <v>194</v>
      </c>
      <c r="E552" s="63" t="s">
        <v>27</v>
      </c>
      <c r="F552" s="98">
        <v>6.26040547E8</v>
      </c>
      <c r="H552" s="63">
        <v>12085.0</v>
      </c>
      <c r="I552" s="74" t="s">
        <v>561</v>
      </c>
      <c r="J552" s="23" t="s">
        <v>51</v>
      </c>
      <c r="K552" s="63">
        <v>9.306615531E9</v>
      </c>
      <c r="L552" s="68">
        <v>12805.0</v>
      </c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</row>
    <row r="553">
      <c r="A553" s="121">
        <v>46086.0</v>
      </c>
      <c r="B553" s="49" t="s">
        <v>524</v>
      </c>
      <c r="C553" s="49" t="s">
        <v>47</v>
      </c>
      <c r="D553" s="63" t="s">
        <v>489</v>
      </c>
      <c r="E553" s="63" t="s">
        <v>49</v>
      </c>
      <c r="F553" s="98">
        <v>6.26040562E8</v>
      </c>
      <c r="H553" s="63">
        <v>12088.0</v>
      </c>
      <c r="I553" s="74" t="s">
        <v>389</v>
      </c>
      <c r="J553" s="23" t="s">
        <v>51</v>
      </c>
      <c r="K553" s="42">
        <v>9.813490253E9</v>
      </c>
      <c r="L553" s="68">
        <v>120.0</v>
      </c>
      <c r="M553" s="51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7"/>
    </row>
    <row r="554">
      <c r="A554" s="121">
        <v>46086.0</v>
      </c>
      <c r="B554" s="49" t="s">
        <v>524</v>
      </c>
      <c r="C554" s="49" t="s">
        <v>47</v>
      </c>
      <c r="D554" s="63" t="s">
        <v>489</v>
      </c>
      <c r="E554" s="63" t="s">
        <v>49</v>
      </c>
      <c r="F554" s="98">
        <v>6.26040536E8</v>
      </c>
      <c r="H554" s="63">
        <v>12088.0</v>
      </c>
      <c r="I554" s="74" t="s">
        <v>389</v>
      </c>
      <c r="J554" s="23" t="s">
        <v>51</v>
      </c>
      <c r="K554" s="42">
        <v>9.813490253E9</v>
      </c>
      <c r="L554" s="68">
        <v>11080.0</v>
      </c>
      <c r="M554" s="51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7"/>
    </row>
    <row r="555">
      <c r="A555" s="121">
        <v>46086.0</v>
      </c>
      <c r="B555" s="49" t="s">
        <v>524</v>
      </c>
      <c r="C555" s="49" t="s">
        <v>47</v>
      </c>
      <c r="D555" s="63" t="s">
        <v>489</v>
      </c>
      <c r="E555" s="63" t="s">
        <v>49</v>
      </c>
      <c r="F555" s="98">
        <v>6.26040539E8</v>
      </c>
      <c r="H555" s="63">
        <v>12088.0</v>
      </c>
      <c r="I555" s="74" t="s">
        <v>389</v>
      </c>
      <c r="J555" s="23" t="s">
        <v>51</v>
      </c>
      <c r="K555" s="42">
        <v>9.813490253E9</v>
      </c>
      <c r="L555" s="68">
        <v>0.0</v>
      </c>
      <c r="M555" s="51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7"/>
    </row>
    <row r="556">
      <c r="A556" s="121">
        <v>46086.0</v>
      </c>
      <c r="B556" s="49" t="s">
        <v>524</v>
      </c>
      <c r="C556" s="49" t="s">
        <v>168</v>
      </c>
      <c r="D556" s="49" t="s">
        <v>169</v>
      </c>
      <c r="E556" s="63" t="s">
        <v>27</v>
      </c>
      <c r="F556" s="100" t="s">
        <v>491</v>
      </c>
      <c r="G556" s="49">
        <v>6.04260151E8</v>
      </c>
      <c r="H556" s="63">
        <v>2682.0</v>
      </c>
      <c r="I556" s="74" t="s">
        <v>136</v>
      </c>
      <c r="J556" s="42" t="s">
        <v>137</v>
      </c>
      <c r="K556" s="63">
        <v>8.708503227E9</v>
      </c>
      <c r="L556" s="65">
        <v>9920.0</v>
      </c>
      <c r="Q556" s="65" t="s">
        <v>224</v>
      </c>
      <c r="R556" s="65"/>
      <c r="S556" s="65" t="s">
        <v>562</v>
      </c>
      <c r="T556" s="51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7"/>
    </row>
    <row r="557">
      <c r="A557" s="121">
        <v>46086.0</v>
      </c>
      <c r="B557" s="49" t="s">
        <v>524</v>
      </c>
      <c r="C557" s="49" t="s">
        <v>168</v>
      </c>
      <c r="D557" s="49" t="s">
        <v>169</v>
      </c>
      <c r="E557" s="63" t="s">
        <v>27</v>
      </c>
      <c r="F557" s="100" t="s">
        <v>491</v>
      </c>
      <c r="G557" s="49">
        <v>6.0426015E8</v>
      </c>
      <c r="H557" s="63">
        <v>2682.0</v>
      </c>
      <c r="I557" s="74" t="s">
        <v>136</v>
      </c>
      <c r="J557" s="42" t="s">
        <v>137</v>
      </c>
      <c r="K557" s="63">
        <v>8.708503227E9</v>
      </c>
      <c r="L557" s="65">
        <v>1000.0</v>
      </c>
      <c r="Q557" s="65" t="s">
        <v>224</v>
      </c>
      <c r="R557" s="65"/>
      <c r="S557" s="65" t="s">
        <v>562</v>
      </c>
      <c r="T557" s="51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7"/>
    </row>
    <row r="559">
      <c r="L559" s="81">
        <f>SUM(L546:L558)</f>
        <v>61415</v>
      </c>
    </row>
    <row r="560">
      <c r="A560" s="1">
        <v>46117.0</v>
      </c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4"/>
      <c r="P560" s="2"/>
      <c r="Q560" s="5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ht="38.25" customHeight="1">
      <c r="A561" s="90" t="s">
        <v>0</v>
      </c>
      <c r="B561" s="90" t="s">
        <v>1</v>
      </c>
      <c r="C561" s="91" t="s">
        <v>2</v>
      </c>
      <c r="D561" s="91" t="s">
        <v>3</v>
      </c>
      <c r="E561" s="91" t="s">
        <v>4</v>
      </c>
      <c r="F561" s="91" t="s">
        <v>5</v>
      </c>
      <c r="G561" s="91" t="s">
        <v>6</v>
      </c>
      <c r="H561" s="91" t="s">
        <v>7</v>
      </c>
      <c r="I561" s="91" t="s">
        <v>8</v>
      </c>
      <c r="J561" s="91" t="s">
        <v>9</v>
      </c>
      <c r="K561" s="92" t="s">
        <v>10</v>
      </c>
      <c r="L561" s="93" t="s">
        <v>11</v>
      </c>
      <c r="M561" s="91" t="s">
        <v>12</v>
      </c>
      <c r="N561" s="91" t="s">
        <v>13</v>
      </c>
      <c r="O561" s="94" t="s">
        <v>14</v>
      </c>
      <c r="P561" s="95" t="s">
        <v>15</v>
      </c>
      <c r="Q561" s="91" t="s">
        <v>16</v>
      </c>
      <c r="R561" s="96"/>
      <c r="S561" s="96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  <c r="AE561" s="97"/>
      <c r="AF561" s="97"/>
      <c r="AG561" s="97"/>
      <c r="AH561" s="97"/>
      <c r="AI561" s="97"/>
      <c r="AJ561" s="97"/>
      <c r="AK561" s="97"/>
      <c r="AL561" s="97"/>
      <c r="AM561" s="97"/>
      <c r="AN561" s="97"/>
      <c r="AO561" s="97"/>
      <c r="AP561" s="97"/>
      <c r="AQ561" s="97"/>
      <c r="AR561" s="97"/>
      <c r="AS561" s="97"/>
      <c r="AT561" s="97"/>
      <c r="AU561" s="97"/>
      <c r="AV561" s="97"/>
      <c r="AW561" s="97"/>
      <c r="AX561" s="97"/>
      <c r="AY561" s="97"/>
      <c r="AZ561" s="97"/>
      <c r="BA561" s="97"/>
      <c r="BB561" s="97"/>
      <c r="BC561" s="97"/>
      <c r="BD561" s="97"/>
    </row>
    <row r="562">
      <c r="A562" s="121">
        <v>46117.0</v>
      </c>
      <c r="B562" s="49" t="s">
        <v>519</v>
      </c>
      <c r="C562" s="63" t="s">
        <v>60</v>
      </c>
      <c r="D562" s="63" t="s">
        <v>525</v>
      </c>
      <c r="E562" s="63" t="s">
        <v>27</v>
      </c>
      <c r="F562" s="63" t="s">
        <v>491</v>
      </c>
      <c r="G562" s="49" t="s">
        <v>563</v>
      </c>
      <c r="H562" s="63" t="s">
        <v>29</v>
      </c>
      <c r="I562" s="20" t="s">
        <v>30</v>
      </c>
      <c r="J562" s="17" t="s">
        <v>31</v>
      </c>
      <c r="K562" s="17">
        <v>9.872987038E9</v>
      </c>
      <c r="L562" s="65">
        <v>13182.2</v>
      </c>
      <c r="N562" s="51"/>
      <c r="O562" s="6"/>
      <c r="P562" s="6"/>
      <c r="Q562" s="49" t="s">
        <v>425</v>
      </c>
      <c r="R562" s="49" t="s">
        <v>564</v>
      </c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7"/>
    </row>
    <row r="563">
      <c r="A563" s="121">
        <v>46117.0</v>
      </c>
      <c r="B563" s="49" t="s">
        <v>524</v>
      </c>
      <c r="C563" s="49" t="s">
        <v>216</v>
      </c>
      <c r="D563" s="49" t="s">
        <v>217</v>
      </c>
      <c r="E563" s="63" t="s">
        <v>54</v>
      </c>
      <c r="F563" s="49">
        <v>6.26040517E8</v>
      </c>
      <c r="G563" s="51"/>
      <c r="H563" s="63">
        <v>6768.0</v>
      </c>
      <c r="I563" s="50" t="s">
        <v>360</v>
      </c>
      <c r="J563" s="17" t="s">
        <v>56</v>
      </c>
      <c r="K563" s="42">
        <v>7.355962044E9</v>
      </c>
      <c r="L563" s="49">
        <v>200.0</v>
      </c>
      <c r="M563" s="51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51"/>
    </row>
    <row r="564">
      <c r="A564" s="121">
        <v>46117.0</v>
      </c>
      <c r="B564" s="49" t="s">
        <v>524</v>
      </c>
      <c r="C564" s="49" t="s">
        <v>216</v>
      </c>
      <c r="D564" s="49" t="s">
        <v>217</v>
      </c>
      <c r="E564" s="63" t="s">
        <v>54</v>
      </c>
      <c r="F564" s="49">
        <v>6.26040502E8</v>
      </c>
      <c r="H564" s="63">
        <v>6768.0</v>
      </c>
      <c r="I564" s="50" t="s">
        <v>360</v>
      </c>
      <c r="J564" s="17" t="s">
        <v>56</v>
      </c>
      <c r="K564" s="42">
        <v>7.355962044E9</v>
      </c>
      <c r="L564" s="65">
        <v>1468.0</v>
      </c>
      <c r="M564" s="51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7"/>
    </row>
    <row r="565">
      <c r="A565" s="121">
        <v>46117.0</v>
      </c>
      <c r="B565" s="49" t="s">
        <v>524</v>
      </c>
      <c r="C565" s="49" t="s">
        <v>218</v>
      </c>
      <c r="D565" s="63" t="s">
        <v>452</v>
      </c>
      <c r="E565" s="63" t="s">
        <v>54</v>
      </c>
      <c r="F565" s="49">
        <v>6.26040528E8</v>
      </c>
      <c r="H565" s="63">
        <v>6769.0</v>
      </c>
      <c r="I565" s="50" t="s">
        <v>360</v>
      </c>
      <c r="J565" s="17" t="s">
        <v>56</v>
      </c>
      <c r="K565" s="42">
        <v>7.355962044E9</v>
      </c>
      <c r="L565" s="68">
        <v>1700.0</v>
      </c>
      <c r="M565" s="51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7"/>
    </row>
    <row r="566">
      <c r="A566" s="121">
        <v>46117.0</v>
      </c>
      <c r="B566" s="49" t="s">
        <v>524</v>
      </c>
      <c r="C566" s="49" t="s">
        <v>166</v>
      </c>
      <c r="D566" s="63" t="s">
        <v>167</v>
      </c>
      <c r="E566" s="63" t="s">
        <v>54</v>
      </c>
      <c r="F566" s="49">
        <v>6.26040526E8</v>
      </c>
      <c r="H566" s="63">
        <v>6770.0</v>
      </c>
      <c r="I566" s="20" t="s">
        <v>55</v>
      </c>
      <c r="J566" s="152" t="s">
        <v>56</v>
      </c>
      <c r="K566" s="153">
        <v>9.718858411E9</v>
      </c>
      <c r="L566" s="68">
        <v>8580.0</v>
      </c>
      <c r="M566" s="51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7"/>
    </row>
    <row r="567">
      <c r="A567" s="121">
        <v>46117.0</v>
      </c>
      <c r="B567" s="49" t="s">
        <v>519</v>
      </c>
      <c r="C567" s="49" t="s">
        <v>565</v>
      </c>
      <c r="D567" s="49" t="s">
        <v>566</v>
      </c>
      <c r="E567" s="63" t="s">
        <v>20</v>
      </c>
      <c r="F567" s="49">
        <v>6.26040489E8</v>
      </c>
      <c r="H567" s="63">
        <v>1257.0</v>
      </c>
      <c r="I567" s="74" t="s">
        <v>531</v>
      </c>
      <c r="J567" s="63" t="s">
        <v>412</v>
      </c>
      <c r="K567" s="63">
        <v>8.930901008E9</v>
      </c>
      <c r="L567" s="49">
        <v>2360.0</v>
      </c>
      <c r="Q567" s="49" t="s">
        <v>567</v>
      </c>
      <c r="R567" s="51"/>
      <c r="S567" s="51"/>
      <c r="T567" s="51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7"/>
    </row>
    <row r="568">
      <c r="A568" s="121">
        <v>46117.0</v>
      </c>
      <c r="B568" s="49" t="s">
        <v>524</v>
      </c>
      <c r="C568" s="49" t="s">
        <v>52</v>
      </c>
      <c r="D568" s="49" t="s">
        <v>459</v>
      </c>
      <c r="E568" s="63" t="s">
        <v>54</v>
      </c>
      <c r="F568" s="49">
        <v>6.26040501E8</v>
      </c>
      <c r="H568" s="63">
        <v>6771.0</v>
      </c>
      <c r="I568" s="20" t="s">
        <v>114</v>
      </c>
      <c r="J568" s="154" t="s">
        <v>56</v>
      </c>
      <c r="K568" s="154">
        <v>9.956958533E9</v>
      </c>
      <c r="L568" s="65">
        <v>5730.0</v>
      </c>
      <c r="M568" s="51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7"/>
    </row>
    <row r="569">
      <c r="A569" s="121">
        <v>46117.0</v>
      </c>
      <c r="B569" s="83">
        <v>46058.0</v>
      </c>
      <c r="C569" s="17" t="s">
        <v>67</v>
      </c>
      <c r="D569" s="17" t="s">
        <v>68</v>
      </c>
      <c r="E569" s="63" t="s">
        <v>54</v>
      </c>
      <c r="F569" s="63" t="s">
        <v>491</v>
      </c>
      <c r="G569" s="49">
        <v>6.05260102E8</v>
      </c>
      <c r="H569" s="63">
        <v>6772.0</v>
      </c>
      <c r="I569" s="20" t="s">
        <v>148</v>
      </c>
      <c r="J569" s="76" t="s">
        <v>56</v>
      </c>
      <c r="K569" s="17">
        <v>8.799720529E9</v>
      </c>
      <c r="L569" s="65">
        <v>10600.0</v>
      </c>
      <c r="Q569" s="65" t="s">
        <v>224</v>
      </c>
      <c r="R569" s="65"/>
      <c r="S569" s="65" t="s">
        <v>562</v>
      </c>
      <c r="T569" s="49" t="s">
        <v>568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7"/>
    </row>
    <row r="570">
      <c r="A570" s="121">
        <v>46117.0</v>
      </c>
      <c r="B570" s="49" t="s">
        <v>524</v>
      </c>
      <c r="C570" s="79" t="s">
        <v>142</v>
      </c>
      <c r="D570" s="49" t="s">
        <v>143</v>
      </c>
      <c r="E570" s="63" t="s">
        <v>54</v>
      </c>
      <c r="F570" s="63" t="s">
        <v>491</v>
      </c>
      <c r="G570" s="49">
        <v>6.04260138E8</v>
      </c>
      <c r="H570" s="63">
        <v>1180.0</v>
      </c>
      <c r="I570" s="74" t="s">
        <v>569</v>
      </c>
      <c r="J570" s="17" t="s">
        <v>141</v>
      </c>
      <c r="K570" s="42">
        <v>7.042881279E9</v>
      </c>
      <c r="L570" s="65">
        <v>10000.0</v>
      </c>
      <c r="Q570" s="65" t="s">
        <v>224</v>
      </c>
      <c r="R570" s="65"/>
      <c r="S570" s="65" t="s">
        <v>562</v>
      </c>
      <c r="T570" s="51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7"/>
    </row>
    <row r="571">
      <c r="A571" s="121">
        <v>46117.0</v>
      </c>
      <c r="B571" s="49" t="s">
        <v>524</v>
      </c>
      <c r="C571" s="49" t="s">
        <v>125</v>
      </c>
      <c r="D571" s="49" t="s">
        <v>126</v>
      </c>
      <c r="E571" s="63" t="s">
        <v>54</v>
      </c>
      <c r="F571" s="49">
        <v>6.26040514E8</v>
      </c>
      <c r="H571" s="63" t="s">
        <v>75</v>
      </c>
      <c r="I571" s="70" t="s">
        <v>119</v>
      </c>
      <c r="J571" s="69" t="s">
        <v>31</v>
      </c>
      <c r="K571" s="23">
        <v>9.896437186E9</v>
      </c>
      <c r="L571" s="68">
        <v>10870.0</v>
      </c>
      <c r="M571" s="51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7"/>
    </row>
    <row r="572">
      <c r="A572" s="121">
        <v>46117.0</v>
      </c>
      <c r="B572" s="49" t="s">
        <v>524</v>
      </c>
      <c r="C572" s="49" t="s">
        <v>18</v>
      </c>
      <c r="D572" s="49" t="s">
        <v>146</v>
      </c>
      <c r="E572" s="63" t="s">
        <v>20</v>
      </c>
      <c r="F572" s="63" t="s">
        <v>491</v>
      </c>
      <c r="G572" s="49">
        <v>6.04260145E8</v>
      </c>
      <c r="H572" s="63" t="s">
        <v>570</v>
      </c>
      <c r="I572" s="74" t="s">
        <v>571</v>
      </c>
      <c r="J572" s="63" t="s">
        <v>41</v>
      </c>
      <c r="K572" s="63">
        <v>9.813164806E9</v>
      </c>
      <c r="L572" s="65">
        <v>13767.0</v>
      </c>
      <c r="Q572" s="65" t="s">
        <v>224</v>
      </c>
      <c r="R572" s="65"/>
      <c r="S572" s="65" t="s">
        <v>562</v>
      </c>
      <c r="T572" s="49" t="s">
        <v>572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7"/>
    </row>
    <row r="573">
      <c r="A573" s="121">
        <v>46117.0</v>
      </c>
      <c r="B573" s="49" t="s">
        <v>524</v>
      </c>
      <c r="C573" s="49" t="s">
        <v>18</v>
      </c>
      <c r="D573" s="49" t="s">
        <v>146</v>
      </c>
      <c r="E573" s="63" t="s">
        <v>20</v>
      </c>
      <c r="F573" s="63" t="s">
        <v>491</v>
      </c>
      <c r="G573" s="49">
        <v>6.04260146E8</v>
      </c>
      <c r="H573" s="63" t="s">
        <v>570</v>
      </c>
      <c r="I573" s="74" t="s">
        <v>571</v>
      </c>
      <c r="J573" s="63" t="s">
        <v>41</v>
      </c>
      <c r="K573" s="63">
        <v>9.813164806E9</v>
      </c>
      <c r="L573" s="65">
        <v>5553.0</v>
      </c>
      <c r="Q573" s="65" t="s">
        <v>224</v>
      </c>
      <c r="R573" s="65"/>
      <c r="S573" s="65" t="s">
        <v>562</v>
      </c>
      <c r="T573" s="51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7"/>
    </row>
    <row r="574">
      <c r="A574" s="121">
        <v>46117.0</v>
      </c>
      <c r="B574" s="49" t="s">
        <v>524</v>
      </c>
      <c r="C574" s="79" t="s">
        <v>142</v>
      </c>
      <c r="D574" s="49" t="s">
        <v>143</v>
      </c>
      <c r="E574" s="63" t="s">
        <v>54</v>
      </c>
      <c r="F574" s="63" t="s">
        <v>491</v>
      </c>
      <c r="G574" s="49">
        <v>6.0426014E8</v>
      </c>
      <c r="H574" s="63">
        <v>1181.0</v>
      </c>
      <c r="I574" s="74" t="s">
        <v>215</v>
      </c>
      <c r="J574" s="17" t="s">
        <v>141</v>
      </c>
      <c r="K574" s="42">
        <v>7.01762967E9</v>
      </c>
      <c r="L574" s="65">
        <v>9000.0</v>
      </c>
      <c r="M574" s="155" t="s">
        <v>573</v>
      </c>
      <c r="Q574" s="65" t="s">
        <v>224</v>
      </c>
      <c r="R574" s="65"/>
      <c r="S574" s="65" t="s">
        <v>562</v>
      </c>
      <c r="T574" s="51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7"/>
    </row>
    <row r="575">
      <c r="A575" s="121"/>
      <c r="B575" s="49"/>
      <c r="C575" s="49"/>
      <c r="D575" s="49"/>
      <c r="E575" s="63"/>
      <c r="F575" s="49"/>
      <c r="H575" s="51"/>
      <c r="I575" s="51"/>
      <c r="J575" s="63"/>
      <c r="K575" s="17"/>
      <c r="L575" s="65"/>
      <c r="M575" s="51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7"/>
    </row>
    <row r="576">
      <c r="A576" s="121"/>
      <c r="B576" s="49"/>
      <c r="C576" s="49"/>
      <c r="D576" s="49"/>
      <c r="E576" s="63"/>
      <c r="F576" s="49"/>
      <c r="H576" s="51"/>
      <c r="I576" s="51"/>
      <c r="J576" s="63"/>
      <c r="K576" s="17"/>
      <c r="L576" s="81">
        <f>SUM(L562:L575)</f>
        <v>93010.2</v>
      </c>
      <c r="M576" s="51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7"/>
    </row>
    <row r="577">
      <c r="A577" s="121"/>
      <c r="B577" s="49"/>
      <c r="C577" s="49"/>
      <c r="D577" s="49"/>
      <c r="E577" s="63"/>
      <c r="F577" s="49"/>
      <c r="H577" s="51"/>
      <c r="I577" s="51"/>
      <c r="J577" s="63"/>
      <c r="K577" s="17"/>
      <c r="L577" s="81"/>
      <c r="M577" s="51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7"/>
    </row>
    <row r="578">
      <c r="A578" s="1">
        <v>46147.0</v>
      </c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4"/>
      <c r="P578" s="2"/>
      <c r="Q578" s="5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ht="38.25" customHeight="1">
      <c r="A579" s="90" t="s">
        <v>0</v>
      </c>
      <c r="B579" s="90" t="s">
        <v>1</v>
      </c>
      <c r="C579" s="91" t="s">
        <v>2</v>
      </c>
      <c r="D579" s="91" t="s">
        <v>3</v>
      </c>
      <c r="E579" s="91" t="s">
        <v>4</v>
      </c>
      <c r="F579" s="91" t="s">
        <v>5</v>
      </c>
      <c r="G579" s="91" t="s">
        <v>6</v>
      </c>
      <c r="H579" s="91" t="s">
        <v>7</v>
      </c>
      <c r="I579" s="91" t="s">
        <v>8</v>
      </c>
      <c r="J579" s="91" t="s">
        <v>9</v>
      </c>
      <c r="K579" s="92" t="s">
        <v>10</v>
      </c>
      <c r="L579" s="93" t="s">
        <v>11</v>
      </c>
      <c r="M579" s="91" t="s">
        <v>12</v>
      </c>
      <c r="N579" s="91" t="s">
        <v>13</v>
      </c>
      <c r="O579" s="94" t="s">
        <v>14</v>
      </c>
      <c r="P579" s="95" t="s">
        <v>15</v>
      </c>
      <c r="Q579" s="91" t="s">
        <v>16</v>
      </c>
      <c r="R579" s="96"/>
      <c r="S579" s="96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/>
      <c r="AL579" s="97"/>
      <c r="AM579" s="97"/>
      <c r="AN579" s="97"/>
      <c r="AO579" s="97"/>
      <c r="AP579" s="97"/>
      <c r="AQ579" s="97"/>
      <c r="AR579" s="97"/>
      <c r="AS579" s="97"/>
      <c r="AT579" s="97"/>
      <c r="AU579" s="97"/>
      <c r="AV579" s="97"/>
      <c r="AW579" s="97"/>
      <c r="AX579" s="97"/>
      <c r="AY579" s="97"/>
      <c r="AZ579" s="97"/>
      <c r="BA579" s="97"/>
      <c r="BB579" s="97"/>
      <c r="BC579" s="97"/>
      <c r="BD579" s="97"/>
    </row>
    <row r="580">
      <c r="A580" s="121">
        <v>46147.0</v>
      </c>
      <c r="B580" s="83">
        <v>46117.0</v>
      </c>
      <c r="C580" s="49" t="s">
        <v>174</v>
      </c>
      <c r="D580" s="49" t="s">
        <v>175</v>
      </c>
      <c r="E580" s="63" t="s">
        <v>88</v>
      </c>
      <c r="F580" s="49">
        <v>6.26050113E8</v>
      </c>
      <c r="H580" s="156" t="s">
        <v>574</v>
      </c>
      <c r="I580" s="74" t="s">
        <v>575</v>
      </c>
      <c r="J580" s="63" t="s">
        <v>41</v>
      </c>
      <c r="K580" s="42">
        <v>9.557424928E9</v>
      </c>
      <c r="L580" s="68">
        <v>0.0</v>
      </c>
      <c r="M580" s="51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7"/>
    </row>
    <row r="581">
      <c r="A581" s="121">
        <v>46147.0</v>
      </c>
      <c r="B581" s="49" t="s">
        <v>524</v>
      </c>
      <c r="C581" s="49" t="s">
        <v>174</v>
      </c>
      <c r="D581" s="49" t="s">
        <v>175</v>
      </c>
      <c r="E581" s="63" t="s">
        <v>88</v>
      </c>
      <c r="F581" s="49">
        <v>6.26040529E8</v>
      </c>
      <c r="H581" s="156" t="s">
        <v>574</v>
      </c>
      <c r="I581" s="74" t="s">
        <v>575</v>
      </c>
      <c r="J581" s="63" t="s">
        <v>41</v>
      </c>
      <c r="K581" s="42">
        <v>9.557424928E9</v>
      </c>
      <c r="L581" s="68">
        <v>13300.0</v>
      </c>
      <c r="M581" s="51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7"/>
    </row>
    <row r="582">
      <c r="A582" s="121">
        <v>46147.0</v>
      </c>
      <c r="B582" s="121">
        <v>46117.0</v>
      </c>
      <c r="C582" s="79" t="s">
        <v>142</v>
      </c>
      <c r="D582" s="49" t="s">
        <v>143</v>
      </c>
      <c r="E582" s="63" t="s">
        <v>54</v>
      </c>
      <c r="F582" s="63" t="s">
        <v>491</v>
      </c>
      <c r="G582" s="49">
        <v>6.04260139E8</v>
      </c>
      <c r="H582" s="63">
        <v>1184.0</v>
      </c>
      <c r="I582" s="47" t="s">
        <v>576</v>
      </c>
      <c r="J582" s="42" t="s">
        <v>141</v>
      </c>
      <c r="K582" s="42">
        <v>7.042881279E9</v>
      </c>
      <c r="L582" s="138">
        <v>10000.0</v>
      </c>
      <c r="P582" s="51"/>
      <c r="Q582" s="68" t="s">
        <v>224</v>
      </c>
      <c r="R582" s="68"/>
      <c r="S582" s="68" t="s">
        <v>577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7"/>
    </row>
    <row r="583">
      <c r="A583" s="121">
        <v>46147.0</v>
      </c>
      <c r="B583" s="49" t="s">
        <v>524</v>
      </c>
      <c r="C583" s="49" t="s">
        <v>166</v>
      </c>
      <c r="D583" s="63" t="s">
        <v>167</v>
      </c>
      <c r="E583" s="63" t="s">
        <v>54</v>
      </c>
      <c r="F583" s="49">
        <v>6.26040527E8</v>
      </c>
      <c r="H583" s="156">
        <v>6778.0</v>
      </c>
      <c r="I583" s="20" t="s">
        <v>69</v>
      </c>
      <c r="J583" s="157" t="s">
        <v>56</v>
      </c>
      <c r="K583" s="158">
        <v>9.582295755E9</v>
      </c>
      <c r="L583" s="68">
        <v>10080.0</v>
      </c>
      <c r="M583" s="51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7"/>
    </row>
    <row r="584">
      <c r="A584" s="121">
        <v>46147.0</v>
      </c>
      <c r="B584" s="49" t="s">
        <v>524</v>
      </c>
      <c r="C584" s="49" t="s">
        <v>166</v>
      </c>
      <c r="D584" s="63" t="s">
        <v>167</v>
      </c>
      <c r="E584" s="63" t="s">
        <v>54</v>
      </c>
      <c r="F584" s="49">
        <v>6.26040549E8</v>
      </c>
      <c r="H584" s="156">
        <v>6778.0</v>
      </c>
      <c r="I584" s="20" t="s">
        <v>69</v>
      </c>
      <c r="J584" s="157" t="s">
        <v>56</v>
      </c>
      <c r="K584" s="158">
        <v>9.582295755E9</v>
      </c>
      <c r="L584" s="68">
        <v>131.0</v>
      </c>
      <c r="M584" s="51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7"/>
    </row>
    <row r="585">
      <c r="A585" s="121">
        <v>46147.0</v>
      </c>
      <c r="B585" s="49" t="s">
        <v>524</v>
      </c>
      <c r="C585" s="49" t="s">
        <v>168</v>
      </c>
      <c r="D585" s="49" t="s">
        <v>169</v>
      </c>
      <c r="E585" s="63" t="s">
        <v>27</v>
      </c>
      <c r="F585" s="63" t="s">
        <v>491</v>
      </c>
      <c r="G585" s="49">
        <v>6.04260149E8</v>
      </c>
      <c r="H585" s="63">
        <v>12089.0</v>
      </c>
      <c r="I585" s="47" t="s">
        <v>578</v>
      </c>
      <c r="J585" s="51" t="s">
        <v>51</v>
      </c>
      <c r="K585" s="42">
        <v>9.01702597E9</v>
      </c>
      <c r="L585" s="68">
        <v>1008.0</v>
      </c>
      <c r="P585" s="51"/>
      <c r="Q585" s="68" t="s">
        <v>224</v>
      </c>
      <c r="R585" s="68"/>
      <c r="S585" s="68" t="s">
        <v>577</v>
      </c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7"/>
    </row>
    <row r="586">
      <c r="A586" s="121">
        <v>46147.0</v>
      </c>
      <c r="B586" s="49" t="s">
        <v>524</v>
      </c>
      <c r="C586" s="49" t="s">
        <v>168</v>
      </c>
      <c r="D586" s="49" t="s">
        <v>169</v>
      </c>
      <c r="E586" s="63" t="s">
        <v>27</v>
      </c>
      <c r="F586" s="63" t="s">
        <v>491</v>
      </c>
      <c r="G586" s="49">
        <v>6.04260148E8</v>
      </c>
      <c r="H586" s="63">
        <v>12089.0</v>
      </c>
      <c r="I586" s="47" t="s">
        <v>578</v>
      </c>
      <c r="J586" s="51" t="s">
        <v>51</v>
      </c>
      <c r="K586" s="42">
        <v>9.01702597E9</v>
      </c>
      <c r="L586" s="68">
        <v>8194.0</v>
      </c>
      <c r="P586" s="51"/>
      <c r="Q586" s="68" t="s">
        <v>224</v>
      </c>
      <c r="R586" s="68"/>
      <c r="S586" s="68" t="s">
        <v>577</v>
      </c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7"/>
    </row>
    <row r="587">
      <c r="A587" s="121">
        <v>46147.0</v>
      </c>
      <c r="B587" s="49" t="s">
        <v>524</v>
      </c>
      <c r="C587" s="49" t="s">
        <v>133</v>
      </c>
      <c r="D587" s="49" t="s">
        <v>134</v>
      </c>
      <c r="E587" s="63" t="s">
        <v>135</v>
      </c>
      <c r="F587" s="49">
        <v>6.2604054E8</v>
      </c>
      <c r="G587" s="130">
        <v>-18.0</v>
      </c>
      <c r="H587" s="63">
        <v>12090.0</v>
      </c>
      <c r="I587" s="47" t="s">
        <v>579</v>
      </c>
      <c r="J587" s="51" t="s">
        <v>51</v>
      </c>
      <c r="K587" s="63">
        <v>8.529802417E9</v>
      </c>
      <c r="L587" s="68">
        <v>7505.0</v>
      </c>
    </row>
    <row r="588">
      <c r="A588" s="121">
        <v>46147.0</v>
      </c>
      <c r="B588" s="49" t="s">
        <v>524</v>
      </c>
      <c r="C588" s="49" t="s">
        <v>133</v>
      </c>
      <c r="D588" s="49" t="s">
        <v>134</v>
      </c>
      <c r="E588" s="63" t="s">
        <v>135</v>
      </c>
      <c r="F588" s="49">
        <v>6.26040541E8</v>
      </c>
      <c r="G588" s="130" t="s">
        <v>580</v>
      </c>
      <c r="H588" s="63">
        <v>12090.0</v>
      </c>
      <c r="I588" s="47" t="s">
        <v>579</v>
      </c>
      <c r="J588" s="51" t="s">
        <v>51</v>
      </c>
      <c r="K588" s="63">
        <v>8.529802417E9</v>
      </c>
      <c r="L588" s="138">
        <v>122.5</v>
      </c>
    </row>
    <row r="589">
      <c r="A589" s="121">
        <v>46147.0</v>
      </c>
      <c r="B589" s="49" t="s">
        <v>524</v>
      </c>
      <c r="C589" s="49" t="s">
        <v>133</v>
      </c>
      <c r="D589" s="49" t="s">
        <v>134</v>
      </c>
      <c r="E589" s="63" t="s">
        <v>135</v>
      </c>
      <c r="F589" s="159">
        <v>6.26040548E8</v>
      </c>
      <c r="H589" s="63">
        <v>12090.0</v>
      </c>
      <c r="I589" s="47" t="s">
        <v>579</v>
      </c>
      <c r="J589" s="51" t="s">
        <v>51</v>
      </c>
      <c r="K589" s="63">
        <v>8.529802417E9</v>
      </c>
      <c r="L589" s="138">
        <v>439.0</v>
      </c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</row>
    <row r="590">
      <c r="A590" s="121">
        <v>46147.0</v>
      </c>
      <c r="B590" s="49" t="s">
        <v>524</v>
      </c>
      <c r="C590" s="49" t="s">
        <v>240</v>
      </c>
      <c r="D590" s="63" t="s">
        <v>581</v>
      </c>
      <c r="E590" s="63" t="s">
        <v>20</v>
      </c>
      <c r="F590" s="49">
        <v>6.26040557E8</v>
      </c>
      <c r="G590" s="130">
        <v>1.0</v>
      </c>
      <c r="H590" s="156" t="s">
        <v>582</v>
      </c>
      <c r="I590" s="74" t="s">
        <v>583</v>
      </c>
      <c r="J590" s="63" t="s">
        <v>41</v>
      </c>
      <c r="K590" s="42">
        <v>7.891006284E9</v>
      </c>
      <c r="L590" s="68">
        <v>224.0</v>
      </c>
      <c r="M590" s="51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7"/>
    </row>
    <row r="591">
      <c r="A591" s="121">
        <v>46147.0</v>
      </c>
      <c r="B591" s="49" t="s">
        <v>524</v>
      </c>
      <c r="C591" s="49" t="s">
        <v>240</v>
      </c>
      <c r="D591" s="63" t="s">
        <v>581</v>
      </c>
      <c r="E591" s="63" t="s">
        <v>20</v>
      </c>
      <c r="F591" s="49">
        <v>6.26040525E8</v>
      </c>
      <c r="G591" s="130">
        <v>1.0</v>
      </c>
      <c r="H591" s="156" t="s">
        <v>582</v>
      </c>
      <c r="I591" s="74" t="s">
        <v>583</v>
      </c>
      <c r="J591" s="63" t="s">
        <v>41</v>
      </c>
      <c r="K591" s="42">
        <v>7.891006284E9</v>
      </c>
      <c r="L591" s="68">
        <v>9000.0</v>
      </c>
    </row>
    <row r="592">
      <c r="A592" s="121">
        <v>46147.0</v>
      </c>
      <c r="B592" s="49" t="s">
        <v>524</v>
      </c>
      <c r="C592" s="49" t="s">
        <v>105</v>
      </c>
      <c r="D592" s="63" t="s">
        <v>584</v>
      </c>
      <c r="E592" s="63" t="s">
        <v>103</v>
      </c>
      <c r="F592" s="49">
        <v>6.26040556E8</v>
      </c>
      <c r="G592" s="130">
        <v>2.0</v>
      </c>
      <c r="H592" s="156" t="s">
        <v>585</v>
      </c>
      <c r="I592" s="74" t="s">
        <v>583</v>
      </c>
      <c r="J592" s="63" t="s">
        <v>41</v>
      </c>
      <c r="K592" s="42">
        <v>7.891006284E9</v>
      </c>
      <c r="L592" s="68">
        <v>750.0</v>
      </c>
      <c r="M592" s="51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7"/>
    </row>
    <row r="593">
      <c r="A593" s="121">
        <v>46147.0</v>
      </c>
      <c r="B593" s="49" t="s">
        <v>524</v>
      </c>
      <c r="C593" s="49" t="s">
        <v>105</v>
      </c>
      <c r="D593" s="63" t="s">
        <v>584</v>
      </c>
      <c r="E593" s="63" t="s">
        <v>103</v>
      </c>
      <c r="F593" s="49">
        <v>6.26040561E8</v>
      </c>
      <c r="G593" s="130">
        <v>2.0</v>
      </c>
      <c r="H593" s="156" t="s">
        <v>585</v>
      </c>
      <c r="I593" s="74" t="s">
        <v>583</v>
      </c>
      <c r="J593" s="63" t="s">
        <v>41</v>
      </c>
      <c r="K593" s="42">
        <v>7.891006284E9</v>
      </c>
      <c r="L593" s="68">
        <v>64.0</v>
      </c>
      <c r="M593" s="51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7"/>
    </row>
    <row r="594">
      <c r="A594" s="121">
        <v>46147.0</v>
      </c>
      <c r="B594" s="49" t="s">
        <v>524</v>
      </c>
      <c r="C594" s="49" t="s">
        <v>105</v>
      </c>
      <c r="D594" s="63" t="s">
        <v>584</v>
      </c>
      <c r="E594" s="63" t="s">
        <v>103</v>
      </c>
      <c r="F594" s="49">
        <v>6.2604052E8</v>
      </c>
      <c r="G594" s="130">
        <v>2.0</v>
      </c>
      <c r="H594" s="156" t="s">
        <v>585</v>
      </c>
      <c r="I594" s="74" t="s">
        <v>583</v>
      </c>
      <c r="J594" s="63" t="s">
        <v>41</v>
      </c>
      <c r="K594" s="42">
        <v>7.891006284E9</v>
      </c>
      <c r="L594" s="68">
        <v>2608.0</v>
      </c>
      <c r="M594" s="51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7"/>
    </row>
    <row r="595">
      <c r="A595" s="121">
        <v>46147.0</v>
      </c>
      <c r="B595" s="83">
        <v>46058.0</v>
      </c>
      <c r="C595" s="49" t="s">
        <v>112</v>
      </c>
      <c r="D595" s="49" t="s">
        <v>510</v>
      </c>
      <c r="E595" s="63" t="s">
        <v>54</v>
      </c>
      <c r="F595" s="49">
        <v>6.2605011E8</v>
      </c>
      <c r="H595" s="156" t="s">
        <v>29</v>
      </c>
      <c r="I595" s="20" t="s">
        <v>63</v>
      </c>
      <c r="J595" s="157" t="s">
        <v>64</v>
      </c>
      <c r="K595" s="157">
        <v>9.779272314E9</v>
      </c>
      <c r="L595" s="68">
        <v>860.0</v>
      </c>
      <c r="M595" s="51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7"/>
    </row>
    <row r="596">
      <c r="A596" s="121">
        <v>46147.0</v>
      </c>
      <c r="B596" s="83">
        <v>46117.0</v>
      </c>
      <c r="C596" s="49" t="s">
        <v>112</v>
      </c>
      <c r="D596" s="49" t="s">
        <v>510</v>
      </c>
      <c r="E596" s="63" t="s">
        <v>54</v>
      </c>
      <c r="F596" s="49">
        <v>6.26050111E8</v>
      </c>
      <c r="H596" s="156" t="s">
        <v>29</v>
      </c>
      <c r="I596" s="20" t="s">
        <v>63</v>
      </c>
      <c r="J596" s="157" t="s">
        <v>64</v>
      </c>
      <c r="K596" s="157">
        <v>9.779272314E9</v>
      </c>
      <c r="L596" s="68">
        <v>60.0</v>
      </c>
      <c r="M596" s="51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7"/>
    </row>
    <row r="597">
      <c r="A597" s="121">
        <v>46147.0</v>
      </c>
      <c r="B597" s="49" t="s">
        <v>519</v>
      </c>
      <c r="C597" s="63" t="s">
        <v>60</v>
      </c>
      <c r="D597" s="63" t="s">
        <v>490</v>
      </c>
      <c r="E597" s="63" t="s">
        <v>27</v>
      </c>
      <c r="F597" s="63" t="s">
        <v>491</v>
      </c>
      <c r="G597" s="49" t="s">
        <v>586</v>
      </c>
      <c r="H597" s="49" t="s">
        <v>29</v>
      </c>
      <c r="I597" s="52" t="s">
        <v>96</v>
      </c>
      <c r="J597" s="51" t="s">
        <v>31</v>
      </c>
      <c r="K597" s="51">
        <v>9.972987038E9</v>
      </c>
      <c r="L597" s="68">
        <v>7543.4</v>
      </c>
      <c r="P597" s="49" t="s">
        <v>587</v>
      </c>
      <c r="Q597" s="68" t="s">
        <v>425</v>
      </c>
      <c r="R597" s="68"/>
      <c r="S597" s="68" t="s">
        <v>588</v>
      </c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7"/>
    </row>
    <row r="598">
      <c r="A598" s="121"/>
      <c r="B598" s="49"/>
      <c r="C598" s="49"/>
      <c r="D598" s="49"/>
      <c r="E598" s="63"/>
      <c r="F598" s="49"/>
      <c r="I598" s="51"/>
      <c r="L598" s="68"/>
    </row>
    <row r="599">
      <c r="A599" s="121"/>
      <c r="B599" s="49"/>
      <c r="C599" s="49"/>
      <c r="D599" s="49"/>
      <c r="E599" s="63"/>
      <c r="F599" s="49"/>
      <c r="I599" s="51"/>
      <c r="L599" s="160">
        <f>SUM(L580:L598)</f>
        <v>71888.9</v>
      </c>
    </row>
    <row r="600">
      <c r="A600" s="121"/>
      <c r="B600" s="49"/>
      <c r="C600" s="49"/>
      <c r="D600" s="49"/>
      <c r="E600" s="63"/>
      <c r="F600" s="49"/>
      <c r="I600" s="51"/>
      <c r="L600" s="68"/>
    </row>
    <row r="601">
      <c r="A601" s="121"/>
      <c r="B601" s="49"/>
      <c r="C601" s="49"/>
      <c r="D601" s="49"/>
      <c r="E601" s="63"/>
      <c r="F601" s="49"/>
      <c r="I601" s="51"/>
      <c r="L601" s="68"/>
    </row>
    <row r="602">
      <c r="A602" s="121"/>
      <c r="B602" s="49"/>
      <c r="C602" s="49"/>
      <c r="D602" s="49"/>
      <c r="E602" s="63"/>
      <c r="F602" s="49"/>
      <c r="I602" s="51"/>
      <c r="L602" s="68"/>
    </row>
    <row r="603">
      <c r="A603" s="1">
        <v>46178.0</v>
      </c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4"/>
      <c r="P603" s="2"/>
      <c r="Q603" s="5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54" t="s">
        <v>0</v>
      </c>
      <c r="B604" s="54" t="s">
        <v>1</v>
      </c>
      <c r="C604" s="55" t="s">
        <v>2</v>
      </c>
      <c r="D604" s="55" t="s">
        <v>3</v>
      </c>
      <c r="E604" s="55" t="s">
        <v>4</v>
      </c>
      <c r="F604" s="55" t="s">
        <v>5</v>
      </c>
      <c r="G604" s="55" t="s">
        <v>6</v>
      </c>
      <c r="H604" s="55" t="s">
        <v>7</v>
      </c>
      <c r="I604" s="55" t="s">
        <v>8</v>
      </c>
      <c r="J604" s="55" t="s">
        <v>9</v>
      </c>
      <c r="K604" s="56" t="s">
        <v>10</v>
      </c>
      <c r="L604" s="57" t="s">
        <v>11</v>
      </c>
      <c r="M604" s="55" t="s">
        <v>12</v>
      </c>
      <c r="N604" s="55" t="s">
        <v>13</v>
      </c>
      <c r="O604" s="58" t="s">
        <v>14</v>
      </c>
      <c r="P604" s="59" t="s">
        <v>15</v>
      </c>
      <c r="Q604" s="55" t="s">
        <v>16</v>
      </c>
      <c r="R604" s="60"/>
      <c r="S604" s="60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</row>
    <row r="605">
      <c r="A605" s="121">
        <v>46178.0</v>
      </c>
      <c r="B605" s="121">
        <v>46117.0</v>
      </c>
      <c r="C605" s="79" t="s">
        <v>142</v>
      </c>
      <c r="D605" s="49" t="s">
        <v>143</v>
      </c>
      <c r="E605" s="63" t="s">
        <v>54</v>
      </c>
      <c r="F605" s="49" t="s">
        <v>491</v>
      </c>
      <c r="G605" s="49">
        <v>6.04260141E8</v>
      </c>
      <c r="H605" s="63">
        <v>6781.0</v>
      </c>
      <c r="I605" s="20" t="s">
        <v>148</v>
      </c>
      <c r="J605" s="76" t="s">
        <v>56</v>
      </c>
      <c r="K605" s="17">
        <v>8.799720529E9</v>
      </c>
      <c r="L605" s="68">
        <v>5527.0</v>
      </c>
      <c r="P605" s="51"/>
      <c r="Q605" s="68" t="s">
        <v>224</v>
      </c>
      <c r="R605" s="68"/>
      <c r="S605" s="68" t="s">
        <v>577</v>
      </c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7"/>
    </row>
    <row r="606">
      <c r="A606" s="121">
        <v>46178.0</v>
      </c>
      <c r="B606" s="121">
        <v>46117.0</v>
      </c>
      <c r="C606" s="79" t="s">
        <v>142</v>
      </c>
      <c r="D606" s="49" t="s">
        <v>143</v>
      </c>
      <c r="E606" s="63" t="s">
        <v>54</v>
      </c>
      <c r="F606" s="49" t="s">
        <v>491</v>
      </c>
      <c r="G606" s="83">
        <v>6.05260106E8</v>
      </c>
      <c r="H606" s="63">
        <v>6781.0</v>
      </c>
      <c r="I606" s="20" t="s">
        <v>148</v>
      </c>
      <c r="J606" s="76" t="s">
        <v>56</v>
      </c>
      <c r="K606" s="17">
        <v>8.799720529E9</v>
      </c>
      <c r="L606" s="68">
        <v>3000.0</v>
      </c>
      <c r="P606" s="51"/>
      <c r="Q606" s="68" t="s">
        <v>224</v>
      </c>
      <c r="R606" s="68"/>
      <c r="S606" s="68" t="s">
        <v>577</v>
      </c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7"/>
    </row>
    <row r="607">
      <c r="A607" s="121">
        <v>46178.0</v>
      </c>
      <c r="B607" s="49" t="s">
        <v>524</v>
      </c>
      <c r="C607" s="49" t="s">
        <v>322</v>
      </c>
      <c r="D607" s="49" t="s">
        <v>325</v>
      </c>
      <c r="E607" s="63" t="s">
        <v>589</v>
      </c>
      <c r="F607" s="49">
        <v>6.26040537E8</v>
      </c>
      <c r="H607" s="63">
        <v>11470.0</v>
      </c>
      <c r="I607" s="74" t="s">
        <v>590</v>
      </c>
      <c r="J607" s="42" t="s">
        <v>537</v>
      </c>
      <c r="K607" s="42">
        <v>7.217475788E9</v>
      </c>
      <c r="L607" s="68">
        <v>14995.0</v>
      </c>
    </row>
    <row r="608">
      <c r="A608" s="121">
        <v>46178.0</v>
      </c>
      <c r="B608" s="49" t="s">
        <v>524</v>
      </c>
      <c r="C608" s="49" t="s">
        <v>322</v>
      </c>
      <c r="D608" s="49" t="s">
        <v>325</v>
      </c>
      <c r="E608" s="63" t="s">
        <v>589</v>
      </c>
      <c r="F608" s="49">
        <v>6.2604055E8</v>
      </c>
      <c r="G608" s="161"/>
      <c r="H608" s="63">
        <v>11470.0</v>
      </c>
      <c r="I608" s="74" t="s">
        <v>590</v>
      </c>
      <c r="J608" s="42" t="s">
        <v>537</v>
      </c>
      <c r="K608" s="42">
        <v>7.217475788E9</v>
      </c>
      <c r="L608" s="68">
        <v>892.0</v>
      </c>
    </row>
    <row r="609">
      <c r="A609" s="121">
        <v>46178.0</v>
      </c>
      <c r="B609" s="49" t="s">
        <v>524</v>
      </c>
      <c r="C609" s="49" t="s">
        <v>196</v>
      </c>
      <c r="D609" s="63" t="s">
        <v>197</v>
      </c>
      <c r="E609" s="63" t="s">
        <v>591</v>
      </c>
      <c r="F609" s="49">
        <v>6.26040534E8</v>
      </c>
      <c r="H609" s="63">
        <v>45427.0</v>
      </c>
      <c r="I609" s="74" t="s">
        <v>533</v>
      </c>
      <c r="J609" s="63" t="s">
        <v>592</v>
      </c>
      <c r="K609" s="63">
        <v>9.354218659E9</v>
      </c>
      <c r="L609" s="68">
        <v>8240.0</v>
      </c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</row>
    <row r="610">
      <c r="A610" s="121">
        <v>46178.0</v>
      </c>
      <c r="B610" s="83">
        <v>46117.0</v>
      </c>
      <c r="C610" s="83" t="s">
        <v>196</v>
      </c>
      <c r="D610" s="83" t="s">
        <v>197</v>
      </c>
      <c r="E610" s="63" t="s">
        <v>591</v>
      </c>
      <c r="F610" s="83">
        <v>6.26050115E8</v>
      </c>
      <c r="G610" s="83"/>
      <c r="H610" s="63">
        <v>45427.0</v>
      </c>
      <c r="I610" s="74" t="s">
        <v>533</v>
      </c>
      <c r="J610" s="63" t="s">
        <v>592</v>
      </c>
      <c r="K610" s="162">
        <v>9.354218659E9</v>
      </c>
      <c r="L610" s="68">
        <v>0.0</v>
      </c>
      <c r="M610" s="51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7"/>
    </row>
    <row r="611">
      <c r="A611" s="121">
        <v>46178.0</v>
      </c>
      <c r="B611" s="49" t="s">
        <v>519</v>
      </c>
      <c r="C611" s="49" t="s">
        <v>128</v>
      </c>
      <c r="D611" s="49" t="s">
        <v>129</v>
      </c>
      <c r="E611" s="63" t="s">
        <v>589</v>
      </c>
      <c r="F611" s="49">
        <v>6.26040486E8</v>
      </c>
      <c r="H611" s="63">
        <v>12089.0</v>
      </c>
      <c r="I611" s="20" t="s">
        <v>349</v>
      </c>
      <c r="J611" s="163" t="s">
        <v>51</v>
      </c>
      <c r="K611" s="17">
        <v>8.950357509E9</v>
      </c>
      <c r="L611" s="68">
        <v>6300.0</v>
      </c>
      <c r="M611" s="51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7"/>
    </row>
    <row r="612">
      <c r="A612" s="121">
        <v>46178.0</v>
      </c>
      <c r="B612" s="83" t="s">
        <v>524</v>
      </c>
      <c r="C612" s="83" t="s">
        <v>350</v>
      </c>
      <c r="D612" s="83" t="s">
        <v>593</v>
      </c>
      <c r="E612" s="63" t="s">
        <v>589</v>
      </c>
      <c r="F612" s="83">
        <v>6.26050118E8</v>
      </c>
      <c r="G612" s="83"/>
      <c r="H612" s="63">
        <v>12089.0</v>
      </c>
      <c r="I612" s="20" t="s">
        <v>349</v>
      </c>
      <c r="J612" s="51" t="s">
        <v>51</v>
      </c>
      <c r="K612" s="157">
        <v>8.950357509E9</v>
      </c>
      <c r="L612" s="68">
        <v>7350.0</v>
      </c>
      <c r="M612" s="51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7"/>
    </row>
    <row r="613">
      <c r="A613" s="121">
        <v>46178.0</v>
      </c>
      <c r="B613" s="83" t="s">
        <v>524</v>
      </c>
      <c r="C613" s="49" t="s">
        <v>174</v>
      </c>
      <c r="D613" s="83" t="s">
        <v>594</v>
      </c>
      <c r="E613" s="83" t="s">
        <v>198</v>
      </c>
      <c r="F613" s="49" t="s">
        <v>491</v>
      </c>
      <c r="G613" s="83">
        <v>6.04260142E8</v>
      </c>
      <c r="H613" s="63" t="s">
        <v>595</v>
      </c>
      <c r="I613" s="74" t="s">
        <v>596</v>
      </c>
      <c r="J613" s="63" t="s">
        <v>41</v>
      </c>
      <c r="K613" s="63">
        <v>7.733866506E9</v>
      </c>
      <c r="L613" s="68">
        <v>3971.0</v>
      </c>
      <c r="M613" s="51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7"/>
    </row>
    <row r="614">
      <c r="A614" s="121">
        <v>46178.0</v>
      </c>
      <c r="B614" s="83">
        <v>46147.0</v>
      </c>
      <c r="C614" s="49" t="s">
        <v>174</v>
      </c>
      <c r="D614" s="83" t="s">
        <v>594</v>
      </c>
      <c r="E614" s="83" t="s">
        <v>198</v>
      </c>
      <c r="F614" s="49" t="s">
        <v>491</v>
      </c>
      <c r="G614" s="83">
        <v>6.05260107E8</v>
      </c>
      <c r="H614" s="63" t="s">
        <v>595</v>
      </c>
      <c r="I614" s="74" t="s">
        <v>596</v>
      </c>
      <c r="J614" s="63" t="s">
        <v>41</v>
      </c>
      <c r="K614" s="63">
        <v>7.733866506E9</v>
      </c>
      <c r="L614" s="68">
        <v>9892.0</v>
      </c>
      <c r="M614" s="51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7"/>
    </row>
    <row r="615">
      <c r="A615" s="121">
        <v>46178.0</v>
      </c>
      <c r="B615" s="83">
        <v>46117.0</v>
      </c>
      <c r="C615" s="49" t="s">
        <v>597</v>
      </c>
      <c r="D615" s="49" t="s">
        <v>598</v>
      </c>
      <c r="E615" s="63" t="s">
        <v>589</v>
      </c>
      <c r="F615" s="49">
        <v>6.26050114E8</v>
      </c>
      <c r="H615" s="63">
        <v>2683.0</v>
      </c>
      <c r="I615" s="74" t="s">
        <v>599</v>
      </c>
      <c r="J615" s="42" t="s">
        <v>137</v>
      </c>
      <c r="K615" s="17">
        <v>9.812960909E9</v>
      </c>
      <c r="L615" s="68">
        <v>9548.0</v>
      </c>
      <c r="M615" s="51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7"/>
    </row>
    <row r="616">
      <c r="A616" s="121"/>
      <c r="B616" s="49"/>
      <c r="C616" s="49"/>
      <c r="D616" s="49"/>
      <c r="E616" s="63"/>
      <c r="F616" s="49"/>
      <c r="I616" s="163"/>
      <c r="J616" s="157"/>
      <c r="K616" s="6"/>
      <c r="L616" s="89"/>
      <c r="M616" s="51"/>
      <c r="N616" s="6"/>
      <c r="O616" s="6"/>
      <c r="P616" s="6"/>
      <c r="Q616" s="4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7"/>
    </row>
    <row r="617">
      <c r="A617" s="121"/>
      <c r="B617" s="49"/>
      <c r="C617" s="49"/>
      <c r="D617" s="49"/>
      <c r="E617" s="63"/>
      <c r="F617" s="49"/>
      <c r="I617" s="163"/>
      <c r="J617" s="164"/>
      <c r="K617" s="6"/>
      <c r="L617" s="89">
        <f>SUM(L605:L616)</f>
        <v>69715</v>
      </c>
      <c r="M617" s="51"/>
      <c r="N617" s="6"/>
      <c r="O617" s="6"/>
      <c r="P617" s="6"/>
      <c r="Q617" s="4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7"/>
    </row>
    <row r="618">
      <c r="A618" s="121"/>
      <c r="B618" s="49"/>
      <c r="C618" s="49"/>
      <c r="D618" s="49"/>
      <c r="E618" s="63"/>
      <c r="F618" s="49"/>
      <c r="I618" s="163"/>
      <c r="J618" s="164"/>
      <c r="K618" s="6"/>
      <c r="L618" s="65"/>
      <c r="M618" s="51"/>
      <c r="N618" s="6"/>
      <c r="O618" s="6"/>
      <c r="P618" s="6"/>
      <c r="Q618" s="4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7"/>
    </row>
    <row r="619">
      <c r="A619" s="121"/>
      <c r="B619" s="49"/>
      <c r="C619" s="49"/>
      <c r="D619" s="49"/>
      <c r="E619" s="63"/>
      <c r="F619" s="49"/>
      <c r="I619" s="163"/>
      <c r="J619" s="164"/>
      <c r="K619" s="6"/>
      <c r="L619" s="65"/>
      <c r="M619" s="51"/>
      <c r="N619" s="6"/>
      <c r="O619" s="6"/>
      <c r="P619" s="6"/>
      <c r="Q619" s="4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7"/>
    </row>
    <row r="620">
      <c r="A620" s="121"/>
      <c r="B620" s="83"/>
      <c r="C620" s="63"/>
      <c r="D620" s="63"/>
      <c r="E620" s="63"/>
      <c r="F620" s="161"/>
      <c r="G620" s="161"/>
      <c r="I620" s="163"/>
      <c r="J620" s="164"/>
      <c r="K620" s="6"/>
      <c r="L620" s="79"/>
      <c r="M620" s="51"/>
      <c r="N620" s="6"/>
      <c r="O620" s="6"/>
      <c r="P620" s="6"/>
      <c r="Q620" s="4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7"/>
    </row>
    <row r="621">
      <c r="A621" s="1">
        <v>46208.0</v>
      </c>
      <c r="C621" s="2"/>
      <c r="D621" s="2"/>
      <c r="E621" s="2"/>
      <c r="F621" s="2"/>
      <c r="G621" s="2"/>
      <c r="H621" s="2"/>
      <c r="I621" s="6"/>
      <c r="J621" s="6"/>
      <c r="K621" s="6"/>
      <c r="L621" s="3"/>
      <c r="M621" s="2"/>
      <c r="N621" s="2"/>
      <c r="O621" s="4"/>
      <c r="P621" s="2"/>
      <c r="Q621" s="5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54" t="s">
        <v>0</v>
      </c>
      <c r="B622" s="54" t="s">
        <v>1</v>
      </c>
      <c r="C622" s="55" t="s">
        <v>2</v>
      </c>
      <c r="D622" s="55" t="s">
        <v>3</v>
      </c>
      <c r="E622" s="55" t="s">
        <v>4</v>
      </c>
      <c r="F622" s="55" t="s">
        <v>5</v>
      </c>
      <c r="G622" s="55" t="s">
        <v>6</v>
      </c>
      <c r="H622" s="55" t="s">
        <v>7</v>
      </c>
      <c r="I622" s="55" t="s">
        <v>8</v>
      </c>
      <c r="J622" s="55" t="s">
        <v>9</v>
      </c>
      <c r="K622" s="56" t="s">
        <v>10</v>
      </c>
      <c r="L622" s="57" t="s">
        <v>11</v>
      </c>
      <c r="M622" s="55" t="s">
        <v>12</v>
      </c>
      <c r="N622" s="55" t="s">
        <v>13</v>
      </c>
      <c r="O622" s="58" t="s">
        <v>14</v>
      </c>
      <c r="P622" s="59" t="s">
        <v>15</v>
      </c>
      <c r="Q622" s="55" t="s">
        <v>16</v>
      </c>
      <c r="R622" s="60"/>
      <c r="S622" s="60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</row>
    <row r="623" ht="16.5" customHeight="1">
      <c r="A623" s="121">
        <v>46208.0</v>
      </c>
      <c r="B623" s="83">
        <v>46178.0</v>
      </c>
      <c r="C623" s="83" t="s">
        <v>187</v>
      </c>
      <c r="D623" s="83" t="s">
        <v>600</v>
      </c>
      <c r="E623" s="63" t="s">
        <v>601</v>
      </c>
      <c r="F623" s="83">
        <v>6.26040543E8</v>
      </c>
      <c r="H623" s="63">
        <v>6792.0</v>
      </c>
      <c r="I623" s="20" t="s">
        <v>69</v>
      </c>
      <c r="J623" s="51" t="s">
        <v>56</v>
      </c>
      <c r="K623" s="49">
        <v>9.582295755E9</v>
      </c>
      <c r="L623" s="79">
        <v>3000.0</v>
      </c>
    </row>
    <row r="624">
      <c r="A624" s="121">
        <v>46208.0</v>
      </c>
      <c r="B624" s="83">
        <v>46178.0</v>
      </c>
      <c r="C624" s="83" t="s">
        <v>187</v>
      </c>
      <c r="D624" s="83" t="s">
        <v>600</v>
      </c>
      <c r="E624" s="63" t="s">
        <v>601</v>
      </c>
      <c r="F624" s="83">
        <v>6.26040544E8</v>
      </c>
      <c r="G624" s="83"/>
      <c r="H624" s="63">
        <v>6792.0</v>
      </c>
      <c r="I624" s="20" t="s">
        <v>69</v>
      </c>
      <c r="J624" s="51" t="s">
        <v>56</v>
      </c>
      <c r="K624" s="49">
        <v>9.582295755E9</v>
      </c>
      <c r="L624" s="79">
        <v>9370.0</v>
      </c>
    </row>
    <row r="625">
      <c r="A625" s="121">
        <v>46208.0</v>
      </c>
      <c r="B625" s="83">
        <v>46178.0</v>
      </c>
      <c r="C625" s="83" t="s">
        <v>187</v>
      </c>
      <c r="D625" s="83" t="s">
        <v>600</v>
      </c>
      <c r="E625" s="63" t="s">
        <v>601</v>
      </c>
      <c r="F625" s="83">
        <v>6.26050145E8</v>
      </c>
      <c r="G625" s="83"/>
      <c r="H625" s="63">
        <v>6792.0</v>
      </c>
      <c r="I625" s="20" t="s">
        <v>69</v>
      </c>
      <c r="J625" s="51" t="s">
        <v>56</v>
      </c>
      <c r="K625" s="49">
        <v>9.582295755E9</v>
      </c>
      <c r="L625" s="79">
        <v>400.0</v>
      </c>
    </row>
    <row r="626">
      <c r="A626" s="121">
        <v>46208.0</v>
      </c>
      <c r="B626" s="83">
        <v>46178.0</v>
      </c>
      <c r="C626" s="83" t="s">
        <v>187</v>
      </c>
      <c r="D626" s="83" t="s">
        <v>600</v>
      </c>
      <c r="E626" s="63" t="s">
        <v>601</v>
      </c>
      <c r="F626" s="83">
        <v>6.26050146E8</v>
      </c>
      <c r="G626" s="83"/>
      <c r="H626" s="63">
        <v>6792.0</v>
      </c>
      <c r="I626" s="20" t="s">
        <v>69</v>
      </c>
      <c r="J626" s="51" t="s">
        <v>56</v>
      </c>
      <c r="K626" s="49">
        <v>9.582295755E9</v>
      </c>
      <c r="L626" s="79">
        <v>100.0</v>
      </c>
    </row>
    <row r="627">
      <c r="A627" s="121">
        <v>46208.0</v>
      </c>
      <c r="B627" s="83" t="s">
        <v>524</v>
      </c>
      <c r="C627" s="83" t="s">
        <v>128</v>
      </c>
      <c r="D627" s="83" t="s">
        <v>129</v>
      </c>
      <c r="E627" s="63" t="s">
        <v>589</v>
      </c>
      <c r="F627" s="83">
        <v>6.2604053E8</v>
      </c>
      <c r="G627" s="83"/>
      <c r="H627" s="63">
        <v>11471.0</v>
      </c>
      <c r="I627" s="74" t="s">
        <v>144</v>
      </c>
      <c r="J627" s="49" t="s">
        <v>537</v>
      </c>
      <c r="K627" s="49">
        <v>8.5330406E9</v>
      </c>
      <c r="L627" s="68">
        <v>14012.0</v>
      </c>
      <c r="M627" s="51"/>
      <c r="N627" s="51"/>
      <c r="O627" s="51"/>
      <c r="P627" s="51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7"/>
    </row>
    <row r="628">
      <c r="A628" s="121">
        <v>46208.0</v>
      </c>
      <c r="B628" s="83" t="s">
        <v>524</v>
      </c>
      <c r="C628" s="83" t="s">
        <v>128</v>
      </c>
      <c r="D628" s="83" t="s">
        <v>129</v>
      </c>
      <c r="E628" s="63" t="s">
        <v>589</v>
      </c>
      <c r="F628" s="83">
        <v>6.26040531E8</v>
      </c>
      <c r="G628" s="83"/>
      <c r="H628" s="63">
        <v>11471.0</v>
      </c>
      <c r="I628" s="74" t="s">
        <v>144</v>
      </c>
      <c r="J628" s="49" t="s">
        <v>537</v>
      </c>
      <c r="K628" s="49">
        <v>8.5330406E9</v>
      </c>
      <c r="L628" s="68">
        <v>2560.0</v>
      </c>
      <c r="M628" s="51"/>
      <c r="N628" s="51"/>
      <c r="O628" s="51"/>
      <c r="P628" s="51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7"/>
    </row>
    <row r="629">
      <c r="A629" s="121">
        <v>46208.0</v>
      </c>
      <c r="B629" s="83">
        <v>46147.0</v>
      </c>
      <c r="C629" s="83" t="s">
        <v>18</v>
      </c>
      <c r="D629" s="83" t="s">
        <v>602</v>
      </c>
      <c r="E629" s="63" t="s">
        <v>103</v>
      </c>
      <c r="F629" s="49" t="s">
        <v>491</v>
      </c>
      <c r="G629" s="83">
        <v>6.05260105E8</v>
      </c>
      <c r="H629" s="63" t="s">
        <v>603</v>
      </c>
      <c r="I629" s="74" t="s">
        <v>604</v>
      </c>
      <c r="J629" s="49" t="s">
        <v>41</v>
      </c>
      <c r="K629" s="49">
        <v>9.660701402E9</v>
      </c>
      <c r="L629" s="165">
        <v>5612.0</v>
      </c>
      <c r="M629" s="51"/>
      <c r="N629" s="6"/>
      <c r="O629" s="6"/>
      <c r="P629" s="6"/>
      <c r="Q629" s="43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7"/>
    </row>
    <row r="630">
      <c r="A630" s="121">
        <v>46208.0</v>
      </c>
      <c r="B630" s="83">
        <v>46147.0</v>
      </c>
      <c r="C630" s="83" t="s">
        <v>18</v>
      </c>
      <c r="D630" s="83" t="s">
        <v>602</v>
      </c>
      <c r="E630" s="63" t="s">
        <v>103</v>
      </c>
      <c r="F630" s="49" t="s">
        <v>491</v>
      </c>
      <c r="G630" s="63">
        <v>6.05260109E8</v>
      </c>
      <c r="H630" s="63" t="s">
        <v>603</v>
      </c>
      <c r="I630" s="74" t="s">
        <v>604</v>
      </c>
      <c r="J630" s="49" t="s">
        <v>41</v>
      </c>
      <c r="K630" s="49">
        <v>9.660701402E9</v>
      </c>
      <c r="L630" s="165">
        <v>4545.0</v>
      </c>
      <c r="M630" s="51"/>
      <c r="N630" s="6"/>
      <c r="O630" s="6"/>
      <c r="P630" s="6"/>
      <c r="Q630" s="43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7"/>
    </row>
    <row r="631">
      <c r="A631" s="121">
        <v>46208.0</v>
      </c>
      <c r="B631" s="49" t="s">
        <v>524</v>
      </c>
      <c r="C631" s="49" t="s">
        <v>36</v>
      </c>
      <c r="D631" s="49" t="s">
        <v>605</v>
      </c>
      <c r="E631" s="63" t="s">
        <v>606</v>
      </c>
      <c r="F631" s="49">
        <v>6.26040512E8</v>
      </c>
      <c r="H631" s="63" t="s">
        <v>607</v>
      </c>
      <c r="I631" s="74" t="s">
        <v>608</v>
      </c>
      <c r="J631" s="49" t="s">
        <v>41</v>
      </c>
      <c r="K631" s="49">
        <v>9.991436173E9</v>
      </c>
      <c r="L631" s="65">
        <v>7030.0</v>
      </c>
      <c r="M631" s="51"/>
      <c r="N631" s="6"/>
      <c r="O631" s="6"/>
      <c r="P631" s="6"/>
      <c r="Q631" s="42" t="s">
        <v>609</v>
      </c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7"/>
    </row>
    <row r="632">
      <c r="A632" s="121">
        <v>46208.0</v>
      </c>
      <c r="B632" s="83">
        <v>46178.0</v>
      </c>
      <c r="C632" s="83" t="s">
        <v>36</v>
      </c>
      <c r="D632" s="83" t="s">
        <v>610</v>
      </c>
      <c r="E632" s="63" t="s">
        <v>606</v>
      </c>
      <c r="F632" s="83">
        <v>6.26050141E8</v>
      </c>
      <c r="H632" s="63" t="s">
        <v>607</v>
      </c>
      <c r="I632" s="74" t="s">
        <v>608</v>
      </c>
      <c r="J632" s="49" t="s">
        <v>41</v>
      </c>
      <c r="K632" s="49">
        <v>9.991436173E9</v>
      </c>
      <c r="L632" s="79">
        <v>163.0</v>
      </c>
    </row>
    <row r="633">
      <c r="A633" s="121">
        <v>46208.0</v>
      </c>
      <c r="B633" s="83" t="s">
        <v>524</v>
      </c>
      <c r="C633" s="49" t="s">
        <v>174</v>
      </c>
      <c r="D633" s="83" t="s">
        <v>175</v>
      </c>
      <c r="E633" s="63" t="s">
        <v>88</v>
      </c>
      <c r="F633" s="49" t="s">
        <v>491</v>
      </c>
      <c r="G633" s="83">
        <v>6.04260143E8</v>
      </c>
      <c r="H633" s="63" t="s">
        <v>611</v>
      </c>
      <c r="I633" s="74" t="s">
        <v>612</v>
      </c>
      <c r="J633" s="49" t="s">
        <v>41</v>
      </c>
      <c r="K633" s="49">
        <v>9.578819031E9</v>
      </c>
      <c r="L633" s="79">
        <v>7045.0</v>
      </c>
    </row>
    <row r="634">
      <c r="A634" s="121">
        <v>46208.0</v>
      </c>
      <c r="B634" s="83">
        <v>46178.0</v>
      </c>
      <c r="C634" s="49" t="s">
        <v>174</v>
      </c>
      <c r="D634" s="83" t="s">
        <v>175</v>
      </c>
      <c r="E634" s="63" t="s">
        <v>88</v>
      </c>
      <c r="F634" s="49" t="s">
        <v>491</v>
      </c>
      <c r="G634" s="83">
        <v>6.05260111E8</v>
      </c>
      <c r="H634" s="63" t="s">
        <v>611</v>
      </c>
      <c r="I634" s="74" t="s">
        <v>612</v>
      </c>
      <c r="J634" s="49" t="s">
        <v>41</v>
      </c>
      <c r="K634" s="49">
        <v>9.578819031E9</v>
      </c>
      <c r="L634" s="79">
        <v>9948.0</v>
      </c>
    </row>
    <row r="635">
      <c r="A635" s="121">
        <v>46208.0</v>
      </c>
      <c r="B635" s="49" t="s">
        <v>524</v>
      </c>
      <c r="C635" s="49" t="s">
        <v>57</v>
      </c>
      <c r="D635" s="49" t="s">
        <v>483</v>
      </c>
      <c r="E635" s="63" t="s">
        <v>589</v>
      </c>
      <c r="F635" s="49">
        <v>6.26040546E8</v>
      </c>
      <c r="H635" s="63">
        <v>12092.0</v>
      </c>
      <c r="I635" s="74" t="s">
        <v>80</v>
      </c>
      <c r="J635" s="163" t="s">
        <v>51</v>
      </c>
      <c r="K635" s="63">
        <v>8.950564675E9</v>
      </c>
      <c r="L635" s="68">
        <v>13210.0</v>
      </c>
      <c r="M635" s="51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7"/>
    </row>
    <row r="636">
      <c r="A636" s="121">
        <v>46208.0</v>
      </c>
      <c r="B636" s="83">
        <v>46147.0</v>
      </c>
      <c r="C636" s="83" t="s">
        <v>613</v>
      </c>
      <c r="D636" s="83" t="s">
        <v>614</v>
      </c>
      <c r="E636" s="63" t="s">
        <v>589</v>
      </c>
      <c r="F636" s="83">
        <v>6.26050119E8</v>
      </c>
      <c r="G636" s="83"/>
      <c r="H636" s="63">
        <v>2684.0</v>
      </c>
      <c r="I636" s="74" t="s">
        <v>615</v>
      </c>
      <c r="J636" s="49" t="s">
        <v>137</v>
      </c>
      <c r="K636" s="49">
        <v>9.813642249E9</v>
      </c>
      <c r="L636" s="68">
        <v>6246.0</v>
      </c>
      <c r="M636" s="63"/>
      <c r="N636" s="51"/>
      <c r="O636" s="51"/>
      <c r="P636" s="51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7"/>
    </row>
    <row r="637">
      <c r="A637" s="121">
        <v>46208.0</v>
      </c>
      <c r="B637" s="83">
        <v>46147.0</v>
      </c>
      <c r="C637" s="83" t="s">
        <v>613</v>
      </c>
      <c r="D637" s="83" t="s">
        <v>614</v>
      </c>
      <c r="E637" s="63" t="s">
        <v>589</v>
      </c>
      <c r="F637" s="83">
        <v>6.26050123E8</v>
      </c>
      <c r="G637" s="83"/>
      <c r="H637" s="63">
        <v>2684.0</v>
      </c>
      <c r="I637" s="74" t="s">
        <v>615</v>
      </c>
      <c r="J637" s="49" t="s">
        <v>137</v>
      </c>
      <c r="K637" s="49">
        <v>9.813642249E9</v>
      </c>
      <c r="L637" s="68">
        <v>504.0</v>
      </c>
      <c r="M637" s="63"/>
      <c r="N637" s="51"/>
      <c r="O637" s="51"/>
      <c r="P637" s="51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7"/>
    </row>
    <row r="638">
      <c r="A638" s="121">
        <v>46208.0</v>
      </c>
      <c r="B638" s="83">
        <v>46178.0</v>
      </c>
      <c r="C638" s="83" t="s">
        <v>613</v>
      </c>
      <c r="D638" s="83" t="s">
        <v>614</v>
      </c>
      <c r="E638" s="63" t="s">
        <v>589</v>
      </c>
      <c r="F638" s="83">
        <v>6.26050135E8</v>
      </c>
      <c r="H638" s="63">
        <v>2684.0</v>
      </c>
      <c r="I638" s="74" t="s">
        <v>615</v>
      </c>
      <c r="J638" s="49" t="s">
        <v>137</v>
      </c>
      <c r="K638" s="49">
        <v>9.813642249E9</v>
      </c>
      <c r="L638" s="68">
        <v>5000.0</v>
      </c>
    </row>
    <row r="639">
      <c r="A639" s="121">
        <v>46208.0</v>
      </c>
      <c r="B639" s="83">
        <v>46178.0</v>
      </c>
      <c r="C639" s="83" t="s">
        <v>107</v>
      </c>
      <c r="D639" s="83" t="s">
        <v>616</v>
      </c>
      <c r="E639" s="63" t="s">
        <v>589</v>
      </c>
      <c r="F639" s="49" t="s">
        <v>491</v>
      </c>
      <c r="G639" s="83">
        <v>6.04260144E8</v>
      </c>
      <c r="H639" s="63">
        <v>12093.0</v>
      </c>
      <c r="I639" s="74" t="s">
        <v>195</v>
      </c>
      <c r="J639" s="163" t="s">
        <v>51</v>
      </c>
      <c r="K639" s="63">
        <v>9.518405919E9</v>
      </c>
      <c r="L639" s="79">
        <v>8880.0</v>
      </c>
    </row>
    <row r="640">
      <c r="A640" s="121">
        <v>46208.0</v>
      </c>
      <c r="B640" s="83">
        <v>46178.0</v>
      </c>
      <c r="C640" s="83" t="s">
        <v>107</v>
      </c>
      <c r="D640" s="83" t="s">
        <v>616</v>
      </c>
      <c r="E640" s="63" t="s">
        <v>589</v>
      </c>
      <c r="F640" s="49" t="s">
        <v>491</v>
      </c>
      <c r="G640" s="83">
        <v>6.0526011E8</v>
      </c>
      <c r="H640" s="63">
        <v>12093.0</v>
      </c>
      <c r="I640" s="74" t="s">
        <v>195</v>
      </c>
      <c r="J640" s="163" t="s">
        <v>51</v>
      </c>
      <c r="K640" s="63">
        <v>9.518405919E9</v>
      </c>
      <c r="L640" s="79">
        <v>4784.0</v>
      </c>
    </row>
    <row r="641">
      <c r="A641" s="121">
        <v>46208.0</v>
      </c>
      <c r="B641" s="83">
        <v>46147.0</v>
      </c>
      <c r="C641" s="63" t="s">
        <v>60</v>
      </c>
      <c r="D641" s="83" t="s">
        <v>490</v>
      </c>
      <c r="E641" s="63" t="s">
        <v>601</v>
      </c>
      <c r="F641" s="49" t="s">
        <v>491</v>
      </c>
      <c r="G641" s="83" t="s">
        <v>617</v>
      </c>
      <c r="H641" s="63" t="s">
        <v>75</v>
      </c>
      <c r="I641" s="52" t="s">
        <v>96</v>
      </c>
      <c r="J641" s="51" t="s">
        <v>31</v>
      </c>
      <c r="K641" s="51">
        <v>9.972987038E9</v>
      </c>
      <c r="L641" s="79">
        <v>9908.0</v>
      </c>
      <c r="Q641" s="166" t="s">
        <v>618</v>
      </c>
    </row>
    <row r="642">
      <c r="A642" s="121"/>
      <c r="B642" s="49"/>
      <c r="C642" s="49"/>
      <c r="D642" s="49"/>
      <c r="E642" s="63"/>
      <c r="F642" s="49"/>
      <c r="I642" s="163"/>
      <c r="J642" s="6"/>
      <c r="K642" s="6"/>
      <c r="L642" s="65"/>
      <c r="M642" s="51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7"/>
    </row>
    <row r="643">
      <c r="A643" s="121"/>
      <c r="B643" s="49"/>
      <c r="C643" s="49"/>
      <c r="D643" s="49"/>
      <c r="E643" s="63"/>
      <c r="F643" s="49"/>
      <c r="I643" s="163"/>
      <c r="J643" s="6"/>
      <c r="K643" s="6"/>
      <c r="L643" s="89">
        <f>SUM(L623:L642)</f>
        <v>112317</v>
      </c>
      <c r="M643" s="51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7"/>
    </row>
    <row r="644">
      <c r="A644" s="1">
        <v>46239.0</v>
      </c>
      <c r="C644" s="2"/>
      <c r="D644" s="2"/>
      <c r="E644" s="2"/>
      <c r="F644" s="2"/>
      <c r="G644" s="2"/>
      <c r="H644" s="2"/>
      <c r="I644" s="6"/>
      <c r="J644" s="6"/>
      <c r="K644" s="6"/>
      <c r="L644" s="3"/>
      <c r="M644" s="2"/>
      <c r="N644" s="2"/>
      <c r="O644" s="4"/>
      <c r="P644" s="2"/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54" t="s">
        <v>0</v>
      </c>
      <c r="B645" s="54" t="s">
        <v>1</v>
      </c>
      <c r="C645" s="55" t="s">
        <v>2</v>
      </c>
      <c r="D645" s="55" t="s">
        <v>3</v>
      </c>
      <c r="E645" s="55" t="s">
        <v>4</v>
      </c>
      <c r="F645" s="55" t="s">
        <v>5</v>
      </c>
      <c r="G645" s="55" t="s">
        <v>6</v>
      </c>
      <c r="H645" s="55" t="s">
        <v>7</v>
      </c>
      <c r="I645" s="55" t="s">
        <v>8</v>
      </c>
      <c r="J645" s="55" t="s">
        <v>9</v>
      </c>
      <c r="K645" s="56" t="s">
        <v>10</v>
      </c>
      <c r="L645" s="57" t="s">
        <v>11</v>
      </c>
      <c r="M645" s="55" t="s">
        <v>12</v>
      </c>
      <c r="N645" s="55" t="s">
        <v>13</v>
      </c>
      <c r="O645" s="58" t="s">
        <v>14</v>
      </c>
      <c r="P645" s="59" t="s">
        <v>15</v>
      </c>
      <c r="Q645" s="55" t="s">
        <v>16</v>
      </c>
      <c r="R645" s="60"/>
      <c r="S645" s="60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</row>
    <row r="646">
      <c r="A646" s="121">
        <v>46239.0</v>
      </c>
      <c r="B646" s="49" t="s">
        <v>524</v>
      </c>
      <c r="C646" s="49" t="s">
        <v>168</v>
      </c>
      <c r="D646" s="49" t="s">
        <v>169</v>
      </c>
      <c r="E646" s="63" t="s">
        <v>601</v>
      </c>
      <c r="F646" s="49" t="s">
        <v>491</v>
      </c>
      <c r="G646" s="49">
        <v>6.04260152E8</v>
      </c>
      <c r="H646" s="63">
        <v>6793.0</v>
      </c>
      <c r="I646" s="20" t="s">
        <v>69</v>
      </c>
      <c r="J646" s="51" t="s">
        <v>56</v>
      </c>
      <c r="K646" s="49">
        <v>9.582295755E9</v>
      </c>
      <c r="L646" s="68">
        <v>6195.0</v>
      </c>
      <c r="P646" s="51"/>
      <c r="Q646" s="68" t="s">
        <v>224</v>
      </c>
      <c r="R646" s="68"/>
      <c r="S646" s="68" t="s">
        <v>577</v>
      </c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7"/>
    </row>
    <row r="647">
      <c r="A647" s="121">
        <v>46239.0</v>
      </c>
      <c r="B647" s="121">
        <v>46117.0</v>
      </c>
      <c r="C647" s="49" t="s">
        <v>168</v>
      </c>
      <c r="D647" s="49" t="s">
        <v>169</v>
      </c>
      <c r="E647" s="63" t="s">
        <v>601</v>
      </c>
      <c r="F647" s="49" t="s">
        <v>491</v>
      </c>
      <c r="G647" s="63">
        <v>6.05260108E8</v>
      </c>
      <c r="H647" s="63">
        <v>6793.0</v>
      </c>
      <c r="I647" s="20" t="s">
        <v>69</v>
      </c>
      <c r="J647" s="51" t="s">
        <v>56</v>
      </c>
      <c r="K647" s="49">
        <v>9.582295755E9</v>
      </c>
      <c r="L647" s="68">
        <v>3000.0</v>
      </c>
      <c r="P647" s="51"/>
      <c r="Q647" s="68" t="s">
        <v>224</v>
      </c>
      <c r="R647" s="68"/>
      <c r="S647" s="68" t="s">
        <v>577</v>
      </c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7"/>
    </row>
    <row r="648">
      <c r="A648" s="121">
        <v>46239.0</v>
      </c>
      <c r="B648" s="83">
        <v>46178.0</v>
      </c>
      <c r="C648" s="83" t="s">
        <v>168</v>
      </c>
      <c r="D648" s="83" t="s">
        <v>169</v>
      </c>
      <c r="E648" s="63" t="s">
        <v>601</v>
      </c>
      <c r="F648" s="49" t="s">
        <v>491</v>
      </c>
      <c r="G648" s="83">
        <v>6.05260114E8</v>
      </c>
      <c r="H648" s="63">
        <v>6793.0</v>
      </c>
      <c r="I648" s="20" t="s">
        <v>69</v>
      </c>
      <c r="J648" s="51" t="s">
        <v>56</v>
      </c>
      <c r="K648" s="49">
        <v>9.582295755E9</v>
      </c>
      <c r="L648" s="79">
        <v>1000.0</v>
      </c>
    </row>
    <row r="649">
      <c r="A649" s="121">
        <v>46239.0</v>
      </c>
      <c r="B649" s="83">
        <v>46178.0</v>
      </c>
      <c r="C649" s="83" t="s">
        <v>168</v>
      </c>
      <c r="D649" s="83" t="s">
        <v>169</v>
      </c>
      <c r="E649" s="63" t="s">
        <v>601</v>
      </c>
      <c r="F649" s="49" t="s">
        <v>491</v>
      </c>
      <c r="G649" s="83">
        <v>6.05260115E8</v>
      </c>
      <c r="H649" s="63">
        <v>6793.0</v>
      </c>
      <c r="I649" s="20" t="s">
        <v>69</v>
      </c>
      <c r="J649" s="51" t="s">
        <v>56</v>
      </c>
      <c r="K649" s="49">
        <v>9.582295755E9</v>
      </c>
      <c r="L649" s="79">
        <v>620.0</v>
      </c>
    </row>
    <row r="650">
      <c r="A650" s="121">
        <v>46239.0</v>
      </c>
      <c r="B650" s="83">
        <v>46178.0</v>
      </c>
      <c r="C650" s="83" t="s">
        <v>168</v>
      </c>
      <c r="D650" s="83" t="s">
        <v>169</v>
      </c>
      <c r="E650" s="63" t="s">
        <v>601</v>
      </c>
      <c r="F650" s="49" t="s">
        <v>491</v>
      </c>
      <c r="G650" s="83">
        <v>6.05260116E8</v>
      </c>
      <c r="H650" s="63">
        <v>6793.0</v>
      </c>
      <c r="I650" s="20" t="s">
        <v>69</v>
      </c>
      <c r="J650" s="51" t="s">
        <v>56</v>
      </c>
      <c r="K650" s="49">
        <v>9.582295755E9</v>
      </c>
      <c r="L650" s="79">
        <v>600.0</v>
      </c>
    </row>
    <row r="651">
      <c r="A651" s="121">
        <v>46239.0</v>
      </c>
      <c r="B651" s="83">
        <v>46178.0</v>
      </c>
      <c r="C651" s="83" t="s">
        <v>168</v>
      </c>
      <c r="D651" s="83" t="s">
        <v>169</v>
      </c>
      <c r="E651" s="63" t="s">
        <v>601</v>
      </c>
      <c r="F651" s="49" t="s">
        <v>491</v>
      </c>
      <c r="G651" s="83">
        <v>6.05260112E8</v>
      </c>
      <c r="H651" s="49" t="s">
        <v>75</v>
      </c>
      <c r="I651" s="167" t="s">
        <v>208</v>
      </c>
      <c r="J651" s="51" t="s">
        <v>31</v>
      </c>
      <c r="K651" s="63">
        <v>9.781016497E9</v>
      </c>
      <c r="L651" s="79">
        <v>6000.0</v>
      </c>
    </row>
    <row r="652">
      <c r="A652" s="121">
        <v>46239.0</v>
      </c>
      <c r="B652" s="83">
        <v>46208.0</v>
      </c>
      <c r="C652" s="49" t="s">
        <v>168</v>
      </c>
      <c r="D652" s="49" t="s">
        <v>169</v>
      </c>
      <c r="E652" s="63" t="s">
        <v>601</v>
      </c>
      <c r="F652" s="49" t="s">
        <v>491</v>
      </c>
      <c r="G652" s="49">
        <v>6.05260119E8</v>
      </c>
      <c r="H652" s="49" t="s">
        <v>75</v>
      </c>
      <c r="I652" s="167" t="s">
        <v>208</v>
      </c>
      <c r="J652" s="51" t="s">
        <v>31</v>
      </c>
      <c r="K652" s="63">
        <v>9.781016497E9</v>
      </c>
      <c r="L652" s="65">
        <v>7811.0</v>
      </c>
      <c r="P652" s="51"/>
      <c r="Q652" s="65" t="s">
        <v>224</v>
      </c>
      <c r="R652" s="65"/>
      <c r="S652" s="65" t="s">
        <v>619</v>
      </c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</row>
    <row r="653">
      <c r="A653" s="121">
        <v>46239.0</v>
      </c>
      <c r="B653" s="83">
        <v>46178.0</v>
      </c>
      <c r="C653" s="49" t="s">
        <v>174</v>
      </c>
      <c r="D653" s="49" t="s">
        <v>175</v>
      </c>
      <c r="E653" s="63" t="s">
        <v>88</v>
      </c>
      <c r="F653" s="49" t="s">
        <v>491</v>
      </c>
      <c r="G653" s="49">
        <v>6.05260113E8</v>
      </c>
      <c r="H653" s="63" t="s">
        <v>620</v>
      </c>
      <c r="I653" s="74" t="s">
        <v>621</v>
      </c>
      <c r="J653" s="49" t="s">
        <v>41</v>
      </c>
      <c r="K653" s="156">
        <v>9.813011482E9</v>
      </c>
      <c r="L653" s="65">
        <v>8632.0</v>
      </c>
      <c r="P653" s="51"/>
      <c r="Q653" s="65" t="s">
        <v>224</v>
      </c>
      <c r="R653" s="65"/>
      <c r="S653" s="65" t="s">
        <v>622</v>
      </c>
    </row>
    <row r="654">
      <c r="A654" s="121">
        <v>46239.0</v>
      </c>
      <c r="B654" s="83">
        <v>46208.0</v>
      </c>
      <c r="C654" s="49" t="s">
        <v>174</v>
      </c>
      <c r="D654" s="49" t="s">
        <v>175</v>
      </c>
      <c r="E654" s="63" t="s">
        <v>88</v>
      </c>
      <c r="F654" s="49" t="s">
        <v>491</v>
      </c>
      <c r="G654" s="49">
        <v>6.05260118E8</v>
      </c>
      <c r="H654" s="63" t="s">
        <v>620</v>
      </c>
      <c r="I654" s="74" t="s">
        <v>621</v>
      </c>
      <c r="J654" s="49" t="s">
        <v>41</v>
      </c>
      <c r="K654" s="156">
        <v>9.813011482E9</v>
      </c>
      <c r="L654" s="65">
        <v>9357.0</v>
      </c>
      <c r="P654" s="51"/>
      <c r="Q654" s="65" t="s">
        <v>224</v>
      </c>
      <c r="R654" s="65"/>
      <c r="S654" s="65" t="s">
        <v>622</v>
      </c>
    </row>
    <row r="655">
      <c r="A655" s="121">
        <v>46239.0</v>
      </c>
      <c r="B655" s="83" t="s">
        <v>524</v>
      </c>
      <c r="C655" s="83" t="s">
        <v>243</v>
      </c>
      <c r="D655" s="83" t="s">
        <v>623</v>
      </c>
      <c r="E655" s="83" t="s">
        <v>20</v>
      </c>
      <c r="F655" s="83">
        <v>6.26040519E8</v>
      </c>
      <c r="G655" s="83"/>
      <c r="H655" s="63" t="s">
        <v>624</v>
      </c>
      <c r="I655" s="85" t="s">
        <v>625</v>
      </c>
      <c r="J655" s="49" t="s">
        <v>41</v>
      </c>
      <c r="K655" s="162">
        <v>9.813377893E9</v>
      </c>
      <c r="L655" s="168">
        <v>9000.0</v>
      </c>
      <c r="M655" s="51"/>
      <c r="N655" s="6"/>
      <c r="O655" s="6"/>
      <c r="P655" s="6"/>
      <c r="Q655" s="43" t="s">
        <v>626</v>
      </c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7"/>
    </row>
    <row r="656">
      <c r="A656" s="121">
        <v>46239.0</v>
      </c>
      <c r="B656" s="83">
        <v>46178.0</v>
      </c>
      <c r="C656" s="83" t="s">
        <v>243</v>
      </c>
      <c r="D656" s="83" t="s">
        <v>623</v>
      </c>
      <c r="E656" s="83" t="s">
        <v>20</v>
      </c>
      <c r="F656" s="83">
        <v>6.26050142E8</v>
      </c>
      <c r="H656" s="63" t="s">
        <v>624</v>
      </c>
      <c r="I656" s="85" t="s">
        <v>625</v>
      </c>
      <c r="J656" s="49" t="s">
        <v>41</v>
      </c>
      <c r="K656" s="162">
        <v>9.813377893E9</v>
      </c>
      <c r="L656" s="144">
        <v>256.0</v>
      </c>
    </row>
    <row r="657">
      <c r="A657" s="121">
        <v>46239.0</v>
      </c>
      <c r="B657" s="83" t="s">
        <v>524</v>
      </c>
      <c r="C657" s="83" t="s">
        <v>627</v>
      </c>
      <c r="D657" s="83" t="s">
        <v>628</v>
      </c>
      <c r="E657" s="83" t="s">
        <v>20</v>
      </c>
      <c r="F657" s="83">
        <v>6.26040559E8</v>
      </c>
      <c r="G657" s="83"/>
      <c r="H657" s="63" t="s">
        <v>629</v>
      </c>
      <c r="I657" s="85" t="s">
        <v>625</v>
      </c>
      <c r="J657" s="49" t="s">
        <v>41</v>
      </c>
      <c r="K657" s="162">
        <v>9.813377893E9</v>
      </c>
      <c r="L657" s="168">
        <v>1200.0</v>
      </c>
      <c r="M657" s="51"/>
      <c r="N657" s="51"/>
      <c r="O657" s="51"/>
      <c r="P657" s="51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7"/>
    </row>
    <row r="658">
      <c r="A658" s="121">
        <v>46239.0</v>
      </c>
      <c r="B658" s="83" t="s">
        <v>524</v>
      </c>
      <c r="C658" s="83" t="s">
        <v>248</v>
      </c>
      <c r="D658" s="83" t="s">
        <v>249</v>
      </c>
      <c r="E658" s="83" t="s">
        <v>20</v>
      </c>
      <c r="F658" s="83">
        <v>6.26040523E8</v>
      </c>
      <c r="G658" s="83"/>
      <c r="H658" s="63" t="s">
        <v>630</v>
      </c>
      <c r="I658" s="169" t="s">
        <v>631</v>
      </c>
      <c r="J658" s="49" t="s">
        <v>41</v>
      </c>
      <c r="K658" s="162">
        <v>6.375006146E9</v>
      </c>
      <c r="L658" s="168">
        <v>5008.0</v>
      </c>
      <c r="M658" s="51"/>
      <c r="N658" s="6"/>
      <c r="O658" s="6"/>
      <c r="P658" s="6"/>
      <c r="Q658" s="43" t="s">
        <v>626</v>
      </c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7"/>
    </row>
    <row r="659">
      <c r="A659" s="121">
        <v>46239.0</v>
      </c>
      <c r="B659" s="83">
        <v>46178.0</v>
      </c>
      <c r="C659" s="83" t="s">
        <v>248</v>
      </c>
      <c r="D659" s="83" t="s">
        <v>249</v>
      </c>
      <c r="E659" s="83" t="s">
        <v>20</v>
      </c>
      <c r="F659" s="83">
        <v>6.26050137E8</v>
      </c>
      <c r="H659" s="63" t="s">
        <v>630</v>
      </c>
      <c r="I659" s="169" t="s">
        <v>631</v>
      </c>
      <c r="J659" s="49" t="s">
        <v>41</v>
      </c>
      <c r="K659" s="162">
        <v>6.375006146E9</v>
      </c>
      <c r="L659" s="144">
        <v>144.0</v>
      </c>
    </row>
    <row r="660">
      <c r="A660" s="121">
        <v>46239.0</v>
      </c>
      <c r="B660" s="83" t="s">
        <v>524</v>
      </c>
      <c r="C660" s="83" t="s">
        <v>235</v>
      </c>
      <c r="D660" s="83" t="s">
        <v>236</v>
      </c>
      <c r="E660" s="63" t="s">
        <v>198</v>
      </c>
      <c r="F660" s="83">
        <v>6.26040535E8</v>
      </c>
      <c r="G660" s="83"/>
      <c r="H660" s="63">
        <v>1742.0</v>
      </c>
      <c r="I660" s="167" t="s">
        <v>632</v>
      </c>
      <c r="J660" s="162" t="s">
        <v>412</v>
      </c>
      <c r="K660" s="42">
        <v>9.068048874E9</v>
      </c>
      <c r="L660" s="144">
        <v>2600.0</v>
      </c>
      <c r="M660" s="51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7"/>
    </row>
    <row r="661">
      <c r="A661" s="121">
        <v>46178.0</v>
      </c>
      <c r="B661" s="121">
        <v>46178.0</v>
      </c>
      <c r="C661" s="49" t="s">
        <v>633</v>
      </c>
      <c r="D661" s="49" t="s">
        <v>421</v>
      </c>
      <c r="E661" s="151" t="s">
        <v>634</v>
      </c>
      <c r="F661" s="63">
        <v>6.26050127E8</v>
      </c>
      <c r="H661" s="63" t="s">
        <v>75</v>
      </c>
      <c r="I661" s="20" t="s">
        <v>63</v>
      </c>
      <c r="J661" s="51" t="s">
        <v>64</v>
      </c>
      <c r="K661" s="51">
        <v>9.779272314E9</v>
      </c>
      <c r="L661" s="63">
        <v>10.0</v>
      </c>
    </row>
    <row r="662">
      <c r="A662" s="121">
        <v>46178.0</v>
      </c>
      <c r="B662" s="121">
        <v>46178.0</v>
      </c>
      <c r="C662" s="49" t="s">
        <v>633</v>
      </c>
      <c r="D662" s="49" t="s">
        <v>421</v>
      </c>
      <c r="E662" s="151" t="s">
        <v>634</v>
      </c>
      <c r="F662" s="63">
        <v>6.26050128E8</v>
      </c>
      <c r="H662" s="63" t="s">
        <v>75</v>
      </c>
      <c r="I662" s="20" t="s">
        <v>63</v>
      </c>
      <c r="J662" s="51" t="s">
        <v>64</v>
      </c>
      <c r="K662" s="51">
        <v>9.779272314E9</v>
      </c>
      <c r="L662" s="63">
        <v>75.0</v>
      </c>
    </row>
    <row r="663">
      <c r="A663" s="121">
        <v>46239.0</v>
      </c>
      <c r="B663" s="83">
        <v>46208.0</v>
      </c>
      <c r="C663" s="49" t="s">
        <v>112</v>
      </c>
      <c r="D663" s="49" t="s">
        <v>510</v>
      </c>
      <c r="E663" s="63" t="s">
        <v>54</v>
      </c>
      <c r="F663" s="49">
        <v>6.2605015E8</v>
      </c>
      <c r="H663" s="63" t="s">
        <v>75</v>
      </c>
      <c r="I663" s="170" t="s">
        <v>63</v>
      </c>
      <c r="J663" s="51" t="s">
        <v>64</v>
      </c>
      <c r="K663" s="51">
        <v>9.779272314E9</v>
      </c>
      <c r="L663" s="65">
        <v>856.0</v>
      </c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</row>
    <row r="664">
      <c r="A664" s="121">
        <v>46239.0</v>
      </c>
      <c r="B664" s="83">
        <v>46208.0</v>
      </c>
      <c r="C664" s="49" t="s">
        <v>112</v>
      </c>
      <c r="D664" s="49" t="s">
        <v>510</v>
      </c>
      <c r="E664" s="63" t="s">
        <v>54</v>
      </c>
      <c r="F664" s="49">
        <v>6.26050151E8</v>
      </c>
      <c r="H664" s="63" t="s">
        <v>75</v>
      </c>
      <c r="I664" s="170" t="s">
        <v>63</v>
      </c>
      <c r="J664" s="51" t="s">
        <v>64</v>
      </c>
      <c r="K664" s="51">
        <v>9.779272314E9</v>
      </c>
      <c r="L664" s="65">
        <v>0.0</v>
      </c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</row>
    <row r="665">
      <c r="A665" s="121">
        <v>46239.0</v>
      </c>
      <c r="B665" s="83" t="s">
        <v>524</v>
      </c>
      <c r="C665" s="83" t="s">
        <v>18</v>
      </c>
      <c r="D665" s="83" t="s">
        <v>177</v>
      </c>
      <c r="E665" s="83" t="s">
        <v>20</v>
      </c>
      <c r="F665" s="83">
        <v>6.26040524E8</v>
      </c>
      <c r="G665" s="83"/>
      <c r="H665" s="83"/>
      <c r="I665" s="163"/>
      <c r="J665" s="171"/>
      <c r="K665" s="163"/>
      <c r="L665" s="172">
        <v>12000.0</v>
      </c>
      <c r="M665" s="63"/>
      <c r="N665" s="6"/>
      <c r="O665" s="6"/>
      <c r="P665" s="6"/>
      <c r="Q665" s="43" t="s">
        <v>635</v>
      </c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7"/>
    </row>
    <row r="666">
      <c r="A666" s="121"/>
      <c r="B666" s="83"/>
      <c r="C666" s="83"/>
      <c r="D666" s="83"/>
      <c r="E666" s="83"/>
      <c r="F666" s="83"/>
      <c r="G666" s="83"/>
      <c r="H666" s="83"/>
      <c r="I666" s="163"/>
      <c r="J666" s="171"/>
      <c r="K666" s="163"/>
      <c r="L666" s="172"/>
      <c r="M666" s="63"/>
      <c r="N666" s="6"/>
      <c r="O666" s="6"/>
      <c r="P666" s="6"/>
      <c r="Q666" s="43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7"/>
    </row>
    <row r="667">
      <c r="A667" s="121"/>
      <c r="B667" s="83"/>
      <c r="C667" s="83"/>
      <c r="D667" s="83"/>
      <c r="E667" s="83"/>
      <c r="F667" s="83"/>
      <c r="G667" s="83"/>
      <c r="H667" s="83"/>
      <c r="I667" s="163"/>
      <c r="J667" s="171"/>
      <c r="K667" s="163"/>
      <c r="L667" s="173">
        <f>SUM(L646:L666)</f>
        <v>74364</v>
      </c>
      <c r="M667" s="63"/>
      <c r="N667" s="6"/>
      <c r="O667" s="6"/>
      <c r="P667" s="6"/>
      <c r="Q667" s="43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7"/>
    </row>
    <row r="668">
      <c r="A668" s="121"/>
      <c r="B668" s="83"/>
      <c r="C668" s="83"/>
      <c r="D668" s="83"/>
      <c r="E668" s="83"/>
      <c r="F668" s="83"/>
      <c r="G668" s="83"/>
      <c r="H668" s="83"/>
      <c r="I668" s="163"/>
      <c r="J668" s="171"/>
      <c r="K668" s="163"/>
      <c r="L668" s="172"/>
      <c r="M668" s="63"/>
      <c r="N668" s="6"/>
      <c r="O668" s="6"/>
      <c r="P668" s="6"/>
      <c r="Q668" s="43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7"/>
    </row>
    <row r="669">
      <c r="A669" s="121"/>
      <c r="B669" s="83"/>
      <c r="C669" s="83"/>
      <c r="D669" s="83"/>
      <c r="E669" s="83"/>
      <c r="F669" s="83"/>
      <c r="G669" s="83"/>
      <c r="H669" s="83"/>
      <c r="I669" s="163"/>
      <c r="J669" s="171"/>
      <c r="K669" s="163"/>
      <c r="L669" s="172"/>
      <c r="M669" s="63"/>
      <c r="N669" s="6"/>
      <c r="O669" s="6"/>
      <c r="P669" s="6"/>
      <c r="Q669" s="43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7"/>
    </row>
    <row r="670">
      <c r="A670" s="121">
        <v>46239.0</v>
      </c>
      <c r="B670" s="49" t="s">
        <v>524</v>
      </c>
      <c r="C670" s="49" t="s">
        <v>350</v>
      </c>
      <c r="D670" s="49" t="s">
        <v>593</v>
      </c>
      <c r="E670" s="63" t="s">
        <v>589</v>
      </c>
      <c r="F670" s="49">
        <v>6.26040555E8</v>
      </c>
      <c r="I670" s="51"/>
      <c r="J670" s="164"/>
      <c r="K670" s="164"/>
      <c r="L670" s="49">
        <v>1000.0</v>
      </c>
    </row>
    <row r="671">
      <c r="A671" s="121">
        <v>46239.0</v>
      </c>
      <c r="B671" s="49" t="s">
        <v>524</v>
      </c>
      <c r="C671" s="49" t="s">
        <v>633</v>
      </c>
      <c r="D671" s="49" t="s">
        <v>484</v>
      </c>
      <c r="E671" s="63" t="s">
        <v>317</v>
      </c>
      <c r="F671" s="49">
        <v>6.26040504E8</v>
      </c>
      <c r="I671" s="163"/>
      <c r="J671" s="6"/>
      <c r="K671" s="6"/>
      <c r="L671" s="65">
        <v>0.0</v>
      </c>
      <c r="M671" s="51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7"/>
    </row>
    <row r="672">
      <c r="A672" s="121">
        <v>46239.0</v>
      </c>
      <c r="B672" s="49" t="s">
        <v>524</v>
      </c>
      <c r="C672" s="49" t="s">
        <v>52</v>
      </c>
      <c r="D672" s="49" t="s">
        <v>459</v>
      </c>
      <c r="E672" s="63" t="s">
        <v>54</v>
      </c>
      <c r="F672" s="49">
        <v>6.26040552E8</v>
      </c>
      <c r="H672" s="63"/>
      <c r="I672" s="17"/>
      <c r="J672" s="17"/>
      <c r="K672" s="17"/>
      <c r="L672" s="68">
        <v>1500.0</v>
      </c>
    </row>
    <row r="673">
      <c r="A673" s="121">
        <v>46239.0</v>
      </c>
      <c r="B673" s="83">
        <v>46117.0</v>
      </c>
      <c r="C673" s="49" t="s">
        <v>52</v>
      </c>
      <c r="D673" s="49" t="s">
        <v>459</v>
      </c>
      <c r="E673" s="63" t="s">
        <v>54</v>
      </c>
      <c r="F673" s="49">
        <v>6.26050112E8</v>
      </c>
      <c r="H673" s="63"/>
      <c r="I673" s="17"/>
      <c r="J673" s="17"/>
      <c r="K673" s="17"/>
      <c r="L673" s="68">
        <v>100.0</v>
      </c>
      <c r="M673" s="51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7"/>
    </row>
    <row r="674">
      <c r="A674" s="121">
        <v>46239.0</v>
      </c>
      <c r="B674" s="83">
        <v>46178.0</v>
      </c>
      <c r="C674" s="83" t="s">
        <v>636</v>
      </c>
      <c r="D674" s="83" t="s">
        <v>637</v>
      </c>
      <c r="E674" s="63" t="s">
        <v>589</v>
      </c>
      <c r="F674" s="83">
        <v>6.26050138E8</v>
      </c>
      <c r="L674" s="79">
        <v>3570.0</v>
      </c>
    </row>
    <row r="675">
      <c r="A675" s="121">
        <v>46239.0</v>
      </c>
      <c r="B675" s="83">
        <v>46178.0</v>
      </c>
      <c r="C675" s="83" t="s">
        <v>636</v>
      </c>
      <c r="D675" s="83" t="s">
        <v>637</v>
      </c>
      <c r="E675" s="63" t="s">
        <v>589</v>
      </c>
      <c r="F675" s="83">
        <v>6.26050143E8</v>
      </c>
      <c r="L675" s="79">
        <v>4286.0</v>
      </c>
    </row>
    <row r="676">
      <c r="A676" s="121">
        <v>46239.0</v>
      </c>
      <c r="B676" s="83" t="s">
        <v>485</v>
      </c>
      <c r="C676" s="83" t="s">
        <v>487</v>
      </c>
      <c r="D676" s="83" t="s">
        <v>488</v>
      </c>
      <c r="E676" s="63" t="s">
        <v>601</v>
      </c>
      <c r="F676" s="83">
        <v>6.26040419E8</v>
      </c>
      <c r="G676" s="83"/>
      <c r="H676" s="83"/>
      <c r="I676" s="51"/>
      <c r="J676" s="85" t="s">
        <v>638</v>
      </c>
      <c r="K676" s="6"/>
      <c r="L676" s="49">
        <v>370.0</v>
      </c>
      <c r="M676" s="51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7"/>
    </row>
    <row r="677">
      <c r="A677" s="121">
        <v>46239.0</v>
      </c>
      <c r="B677" s="83" t="s">
        <v>524</v>
      </c>
      <c r="C677" s="83" t="s">
        <v>193</v>
      </c>
      <c r="D677" s="83" t="s">
        <v>194</v>
      </c>
      <c r="E677" s="83" t="s">
        <v>601</v>
      </c>
      <c r="F677" s="83">
        <v>6.26040545E8</v>
      </c>
      <c r="G677" s="83"/>
      <c r="H677" s="83"/>
      <c r="I677" s="51"/>
      <c r="J677" s="85" t="s">
        <v>638</v>
      </c>
      <c r="K677" s="51"/>
      <c r="L677" s="165">
        <v>120.0</v>
      </c>
      <c r="M677" s="51"/>
      <c r="N677" s="51"/>
      <c r="O677" s="51"/>
      <c r="P677" s="51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7"/>
    </row>
    <row r="678">
      <c r="A678" s="121">
        <v>46239.0</v>
      </c>
      <c r="B678" s="83">
        <v>46147.0</v>
      </c>
      <c r="C678" s="83" t="s">
        <v>193</v>
      </c>
      <c r="D678" s="83" t="s">
        <v>194</v>
      </c>
      <c r="E678" s="83" t="s">
        <v>601</v>
      </c>
      <c r="F678" s="83">
        <v>6.26050124E8</v>
      </c>
      <c r="G678" s="83"/>
      <c r="H678" s="83"/>
      <c r="I678" s="51"/>
      <c r="J678" s="85" t="s">
        <v>638</v>
      </c>
      <c r="K678" s="6"/>
      <c r="L678" s="165">
        <v>100.0</v>
      </c>
      <c r="M678" s="51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7"/>
    </row>
    <row r="679">
      <c r="A679" s="121">
        <v>46239.0</v>
      </c>
      <c r="B679" s="83">
        <v>46147.0</v>
      </c>
      <c r="C679" s="83" t="s">
        <v>193</v>
      </c>
      <c r="D679" s="83" t="s">
        <v>194</v>
      </c>
      <c r="E679" s="83" t="s">
        <v>601</v>
      </c>
      <c r="F679" s="83">
        <v>6.26050125E8</v>
      </c>
      <c r="G679" s="83"/>
      <c r="H679" s="83"/>
      <c r="I679" s="51"/>
      <c r="J679" s="85" t="s">
        <v>638</v>
      </c>
      <c r="K679" s="6"/>
      <c r="L679" s="165">
        <v>160.0</v>
      </c>
      <c r="M679" s="51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7"/>
    </row>
    <row r="680">
      <c r="A680" s="121">
        <v>46239.0</v>
      </c>
      <c r="B680" s="83" t="s">
        <v>519</v>
      </c>
      <c r="C680" s="83" t="s">
        <v>18</v>
      </c>
      <c r="D680" s="83" t="s">
        <v>146</v>
      </c>
      <c r="E680" s="83" t="s">
        <v>20</v>
      </c>
      <c r="F680" s="83">
        <v>6.2604013E8</v>
      </c>
      <c r="G680" s="83"/>
      <c r="H680" s="83"/>
      <c r="I680" s="63"/>
      <c r="J680" s="85" t="s">
        <v>639</v>
      </c>
      <c r="K680" s="63"/>
      <c r="L680" s="79">
        <v>250.0</v>
      </c>
      <c r="N680" s="51"/>
      <c r="O680" s="66"/>
      <c r="P680" s="51"/>
      <c r="Q680" s="63" t="s">
        <v>640</v>
      </c>
      <c r="R680" s="51"/>
      <c r="S680" s="49" t="s">
        <v>145</v>
      </c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7"/>
    </row>
    <row r="681">
      <c r="A681" s="121">
        <v>46239.0</v>
      </c>
      <c r="B681" s="83">
        <v>46208.0</v>
      </c>
      <c r="C681" s="49" t="s">
        <v>57</v>
      </c>
      <c r="D681" s="49" t="s">
        <v>483</v>
      </c>
      <c r="E681" s="63" t="s">
        <v>589</v>
      </c>
      <c r="F681" s="49">
        <v>6.26050148E8</v>
      </c>
      <c r="I681" s="51"/>
      <c r="J681" s="51"/>
      <c r="K681" s="51"/>
      <c r="L681" s="65">
        <v>1625.0</v>
      </c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</row>
    <row r="682">
      <c r="A682" s="121">
        <v>46239.0</v>
      </c>
      <c r="B682" s="83">
        <v>46208.0</v>
      </c>
      <c r="C682" s="49" t="s">
        <v>57</v>
      </c>
      <c r="D682" s="49" t="s">
        <v>483</v>
      </c>
      <c r="E682" s="63" t="s">
        <v>589</v>
      </c>
      <c r="F682" s="49">
        <v>6.26050149E8</v>
      </c>
      <c r="I682" s="51"/>
      <c r="J682" s="51"/>
      <c r="K682" s="51"/>
      <c r="L682" s="65">
        <v>125.0</v>
      </c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</row>
    <row r="683">
      <c r="A683" s="121">
        <v>46239.0</v>
      </c>
      <c r="B683" s="83">
        <v>46178.0</v>
      </c>
      <c r="C683" s="49" t="s">
        <v>281</v>
      </c>
      <c r="D683" s="49" t="s">
        <v>282</v>
      </c>
      <c r="E683" s="63" t="s">
        <v>589</v>
      </c>
      <c r="F683" s="49">
        <v>6.26050136E8</v>
      </c>
      <c r="I683" s="51"/>
      <c r="J683" s="51"/>
      <c r="K683" s="51"/>
      <c r="L683" s="65">
        <v>4675.0</v>
      </c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</row>
    <row r="684">
      <c r="A684" s="121">
        <v>46239.0</v>
      </c>
      <c r="B684" s="83">
        <v>46208.0</v>
      </c>
      <c r="C684" s="49" t="s">
        <v>122</v>
      </c>
      <c r="D684" s="49" t="s">
        <v>123</v>
      </c>
      <c r="E684" s="63" t="s">
        <v>54</v>
      </c>
      <c r="F684" s="49">
        <v>6.26050154E8</v>
      </c>
      <c r="L684" s="49">
        <v>2041.0</v>
      </c>
      <c r="Q684" s="49" t="s">
        <v>641</v>
      </c>
    </row>
    <row r="685">
      <c r="A685" s="121">
        <v>46239.0</v>
      </c>
      <c r="B685" s="83">
        <v>46208.0</v>
      </c>
      <c r="C685" s="49" t="s">
        <v>122</v>
      </c>
      <c r="D685" s="49" t="s">
        <v>123</v>
      </c>
      <c r="E685" s="63" t="s">
        <v>54</v>
      </c>
      <c r="F685" s="49">
        <v>6.26050155E8</v>
      </c>
      <c r="J685" s="6"/>
      <c r="K685" s="6"/>
      <c r="L685" s="49">
        <v>764.0</v>
      </c>
      <c r="N685" s="6"/>
      <c r="O685" s="6"/>
      <c r="P685" s="6"/>
      <c r="Q685" s="49" t="s">
        <v>641</v>
      </c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7"/>
    </row>
    <row r="686">
      <c r="A686" s="121"/>
      <c r="B686" s="49"/>
      <c r="C686" s="49"/>
      <c r="D686" s="49"/>
      <c r="E686" s="49"/>
      <c r="F686" s="49"/>
      <c r="G686" s="51"/>
      <c r="H686" s="51"/>
      <c r="I686" s="51"/>
      <c r="J686" s="6"/>
      <c r="K686" s="6"/>
      <c r="L686" s="65"/>
      <c r="M686" s="51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7"/>
    </row>
    <row r="687">
      <c r="A687" s="121"/>
      <c r="B687" s="49"/>
      <c r="C687" s="49"/>
      <c r="D687" s="49"/>
      <c r="E687" s="49"/>
      <c r="F687" s="49"/>
      <c r="G687" s="51"/>
      <c r="H687" s="51"/>
      <c r="I687" s="51"/>
      <c r="J687" s="6"/>
      <c r="K687" s="6"/>
      <c r="L687" s="65"/>
      <c r="M687" s="51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7"/>
    </row>
    <row r="688">
      <c r="B688" s="51"/>
      <c r="C688" s="51"/>
      <c r="D688" s="51"/>
      <c r="E688" s="51"/>
      <c r="F688" s="51"/>
      <c r="G688" s="51"/>
      <c r="H688" s="51"/>
      <c r="I688" s="51"/>
    </row>
  </sheetData>
  <mergeCells count="34">
    <mergeCell ref="A1:B1"/>
    <mergeCell ref="A15:B15"/>
    <mergeCell ref="A41:B41"/>
    <mergeCell ref="A53:B53"/>
    <mergeCell ref="A76:B76"/>
    <mergeCell ref="A122:B122"/>
    <mergeCell ref="A162:B162"/>
    <mergeCell ref="A182:B182"/>
    <mergeCell ref="A222:B222"/>
    <mergeCell ref="A236:B236"/>
    <mergeCell ref="A261:B261"/>
    <mergeCell ref="A279:B279"/>
    <mergeCell ref="A288:B288"/>
    <mergeCell ref="A296:B296"/>
    <mergeCell ref="A329:B329"/>
    <mergeCell ref="A343:B343"/>
    <mergeCell ref="A356:B356"/>
    <mergeCell ref="A364:B364"/>
    <mergeCell ref="A387:B387"/>
    <mergeCell ref="A410:B410"/>
    <mergeCell ref="A426:B426"/>
    <mergeCell ref="A544:B544"/>
    <mergeCell ref="A560:B560"/>
    <mergeCell ref="A578:B578"/>
    <mergeCell ref="A603:B603"/>
    <mergeCell ref="A621:B621"/>
    <mergeCell ref="A644:B644"/>
    <mergeCell ref="A437:B437"/>
    <mergeCell ref="A452:B452"/>
    <mergeCell ref="A460:B460"/>
    <mergeCell ref="A478:B478"/>
    <mergeCell ref="A490:B490"/>
    <mergeCell ref="A507:B507"/>
    <mergeCell ref="A533:B533"/>
  </mergeCells>
  <conditionalFormatting sqref="F661:F662">
    <cfRule type="expression" dxfId="3" priority="1">
      <formula>countif(#REF!,F661)&gt;1</formula>
    </cfRule>
  </conditionalFormatting>
  <conditionalFormatting sqref="G629:G630">
    <cfRule type="expression" dxfId="3" priority="2">
      <formula>countif(F:F,G629)&gt;1</formula>
    </cfRule>
  </conditionalFormatting>
  <conditionalFormatting sqref="F1:F44 G30 H43:H44 F47:F48 F50:F55 F60:F63 F76:F77 F85:F99 F106 F110:F112 F118:F123 F127:F128 F130 F141 F146 F148 F156 F158 F162:F163 F182:F183 F222:F223 F236:F237 F261:F262 F273 F275:F280 F285:F289 F292 F296:F297 F329:F330 F343:F344 F355:F357 F362:F365 F387:F388 F410:F411 F426:F427 F437:F438 F452:F453 F460:F461 F478:F479 F490:F491 F507:F508 F533:F534 F544:F545 F560:F561 F578:F579 F603:F604 F607:F612 F615:F628 G623:G626 F631:F632 G633:G634 F635:F638 G639:G652 F643:F645 F655:G683 F689:F1576">
    <cfRule type="expression" dxfId="3" priority="3">
      <formula>countif(F:F,F1)&gt;1</formula>
    </cfRule>
  </conditionalFormatting>
  <conditionalFormatting sqref="G1:G652 G655:G683 G689:G1576">
    <cfRule type="expression" dxfId="3" priority="4">
      <formula>countif(G:G,G1)&gt;1</formula>
    </cfRule>
  </conditionalFormatting>
  <hyperlinks>
    <hyperlink r:id="rId1" ref="D3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88"/>
    <col customWidth="1" min="2" max="2" width="17.25"/>
    <col customWidth="1" min="3" max="3" width="36.5"/>
    <col customWidth="1" min="4" max="4" width="102.5"/>
    <col customWidth="1" min="5" max="5" width="9.5"/>
    <col customWidth="1" min="6" max="6" width="15.75"/>
    <col customWidth="1" min="7" max="7" width="18.0"/>
    <col customWidth="1" min="8" max="8" width="12.13"/>
    <col customWidth="1" min="9" max="9" width="16.0"/>
    <col customWidth="1" min="10" max="10" width="21.25"/>
    <col customWidth="1" min="11" max="11" width="15.13"/>
    <col customWidth="1" min="12" max="12" width="19.88"/>
    <col customWidth="1" min="13" max="13" width="15.5"/>
    <col customWidth="1" min="14" max="14" width="13.25"/>
    <col customWidth="1" min="15" max="15" width="8.75"/>
    <col customWidth="1" min="16" max="16" width="14.75"/>
    <col customWidth="1" min="17" max="17" width="20.63"/>
    <col customWidth="1" min="18" max="18" width="46.63"/>
  </cols>
  <sheetData>
    <row r="1">
      <c r="A1" s="174">
        <v>46026.0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6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2"/>
      <c r="AZ1" s="2"/>
      <c r="BA1" s="2"/>
      <c r="BB1" s="2"/>
      <c r="BC1" s="2"/>
      <c r="BD1" s="2"/>
    </row>
    <row r="2" ht="47.25" customHeight="1">
      <c r="A2" s="177" t="s">
        <v>0</v>
      </c>
      <c r="B2" s="177" t="s">
        <v>1</v>
      </c>
      <c r="C2" s="178" t="s">
        <v>2</v>
      </c>
      <c r="D2" s="178" t="s">
        <v>3</v>
      </c>
      <c r="E2" s="178" t="s">
        <v>4</v>
      </c>
      <c r="F2" s="178" t="s">
        <v>642</v>
      </c>
      <c r="G2" s="178" t="s">
        <v>643</v>
      </c>
      <c r="H2" s="178" t="s">
        <v>7</v>
      </c>
      <c r="I2" s="178" t="s">
        <v>8</v>
      </c>
      <c r="J2" s="178" t="s">
        <v>9</v>
      </c>
      <c r="K2" s="179" t="s">
        <v>10</v>
      </c>
      <c r="L2" s="179" t="s">
        <v>644</v>
      </c>
      <c r="M2" s="178" t="s">
        <v>645</v>
      </c>
      <c r="N2" s="178" t="s">
        <v>13</v>
      </c>
      <c r="O2" s="180" t="s">
        <v>14</v>
      </c>
      <c r="P2" s="181" t="s">
        <v>646</v>
      </c>
      <c r="Q2" s="179" t="s">
        <v>647</v>
      </c>
      <c r="R2" s="178" t="s">
        <v>16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</row>
    <row r="3">
      <c r="A3" s="153">
        <v>46026.0</v>
      </c>
      <c r="B3" s="154" t="s">
        <v>23</v>
      </c>
      <c r="C3" s="154" t="s">
        <v>648</v>
      </c>
      <c r="D3" s="154" t="s">
        <v>649</v>
      </c>
      <c r="E3" s="154" t="s">
        <v>650</v>
      </c>
      <c r="F3" s="19">
        <v>6.26038217E8</v>
      </c>
      <c r="G3" s="175"/>
      <c r="H3" s="154">
        <v>6610.0</v>
      </c>
      <c r="I3" s="20" t="s">
        <v>55</v>
      </c>
      <c r="J3" s="152" t="s">
        <v>56</v>
      </c>
      <c r="K3" s="153">
        <v>9.718858411E9</v>
      </c>
      <c r="L3" s="183">
        <v>3000.0</v>
      </c>
      <c r="M3" s="175"/>
      <c r="N3" s="175"/>
      <c r="O3" s="175"/>
      <c r="P3" s="175"/>
      <c r="Q3" s="176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2"/>
      <c r="AZ3" s="2"/>
      <c r="BA3" s="2"/>
      <c r="BB3" s="2"/>
      <c r="BC3" s="2"/>
      <c r="BD3" s="2"/>
    </row>
    <row r="4">
      <c r="A4" s="184">
        <v>46026.0</v>
      </c>
      <c r="B4" s="185" t="s">
        <v>23</v>
      </c>
      <c r="C4" s="185" t="s">
        <v>648</v>
      </c>
      <c r="D4" s="185" t="s">
        <v>649</v>
      </c>
      <c r="E4" s="185" t="s">
        <v>650</v>
      </c>
      <c r="F4" s="19">
        <v>6.26038218E8</v>
      </c>
      <c r="G4" s="186"/>
      <c r="H4" s="185">
        <v>6610.0</v>
      </c>
      <c r="I4" s="20" t="s">
        <v>55</v>
      </c>
      <c r="J4" s="187" t="s">
        <v>56</v>
      </c>
      <c r="K4" s="184">
        <v>9.718858411E9</v>
      </c>
      <c r="L4" s="188">
        <v>3000.0</v>
      </c>
      <c r="M4" s="186"/>
      <c r="N4" s="186"/>
      <c r="O4" s="186"/>
      <c r="P4" s="186"/>
      <c r="Q4" s="189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2"/>
      <c r="AZ4" s="2"/>
      <c r="BA4" s="2"/>
      <c r="BB4" s="2"/>
      <c r="BC4" s="2"/>
      <c r="BD4" s="2"/>
    </row>
    <row r="5">
      <c r="A5" s="153">
        <v>46026.0</v>
      </c>
      <c r="B5" s="154" t="s">
        <v>23</v>
      </c>
      <c r="C5" s="154" t="s">
        <v>648</v>
      </c>
      <c r="D5" s="154" t="s">
        <v>649</v>
      </c>
      <c r="E5" s="154" t="s">
        <v>650</v>
      </c>
      <c r="F5" s="19">
        <v>6.26038219E8</v>
      </c>
      <c r="G5" s="175"/>
      <c r="H5" s="154">
        <v>6610.0</v>
      </c>
      <c r="I5" s="20" t="s">
        <v>55</v>
      </c>
      <c r="J5" s="152" t="s">
        <v>56</v>
      </c>
      <c r="K5" s="153">
        <v>9.718858411E9</v>
      </c>
      <c r="L5" s="183">
        <v>1200.0</v>
      </c>
      <c r="M5" s="175"/>
      <c r="N5" s="175"/>
      <c r="O5" s="175"/>
      <c r="P5" s="175"/>
      <c r="Q5" s="176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2"/>
      <c r="AZ5" s="2"/>
      <c r="BA5" s="2"/>
      <c r="BB5" s="2"/>
      <c r="BC5" s="2"/>
      <c r="BD5" s="2"/>
    </row>
    <row r="6">
      <c r="A6" s="184">
        <v>46026.0</v>
      </c>
      <c r="B6" s="185" t="s">
        <v>23</v>
      </c>
      <c r="C6" s="185" t="s">
        <v>651</v>
      </c>
      <c r="D6" s="185" t="s">
        <v>652</v>
      </c>
      <c r="E6" s="185" t="s">
        <v>634</v>
      </c>
      <c r="F6" s="19">
        <v>6.26038213E8</v>
      </c>
      <c r="G6" s="186"/>
      <c r="H6" s="185">
        <v>6611.0</v>
      </c>
      <c r="I6" s="20" t="s">
        <v>114</v>
      </c>
      <c r="J6" s="185" t="s">
        <v>56</v>
      </c>
      <c r="K6" s="185">
        <v>9.956958533E9</v>
      </c>
      <c r="L6" s="188">
        <v>2400.0</v>
      </c>
      <c r="M6" s="186"/>
      <c r="N6" s="186"/>
      <c r="O6" s="186"/>
      <c r="P6" s="186"/>
      <c r="Q6" s="189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2"/>
      <c r="AZ6" s="2"/>
      <c r="BA6" s="2"/>
      <c r="BB6" s="2"/>
      <c r="BC6" s="2"/>
      <c r="BD6" s="2"/>
    </row>
    <row r="7">
      <c r="A7" s="153">
        <v>46026.0</v>
      </c>
      <c r="B7" s="154" t="s">
        <v>23</v>
      </c>
      <c r="C7" s="154" t="s">
        <v>651</v>
      </c>
      <c r="D7" s="154" t="s">
        <v>652</v>
      </c>
      <c r="E7" s="154" t="s">
        <v>634</v>
      </c>
      <c r="F7" s="19">
        <v>6.26038214E8</v>
      </c>
      <c r="G7" s="175"/>
      <c r="H7" s="154">
        <v>6611.0</v>
      </c>
      <c r="I7" s="20" t="s">
        <v>114</v>
      </c>
      <c r="J7" s="154" t="s">
        <v>56</v>
      </c>
      <c r="K7" s="154">
        <v>9.956958533E9</v>
      </c>
      <c r="L7" s="183">
        <v>3300.0</v>
      </c>
      <c r="M7" s="175"/>
      <c r="N7" s="175"/>
      <c r="O7" s="175"/>
      <c r="P7" s="175"/>
      <c r="Q7" s="176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2"/>
      <c r="AZ7" s="2"/>
      <c r="BA7" s="2"/>
      <c r="BB7" s="2"/>
      <c r="BC7" s="2"/>
      <c r="BD7" s="2"/>
    </row>
    <row r="8">
      <c r="A8" s="184">
        <v>46026.0</v>
      </c>
      <c r="B8" s="185" t="s">
        <v>23</v>
      </c>
      <c r="C8" s="185" t="s">
        <v>653</v>
      </c>
      <c r="D8" s="185" t="s">
        <v>654</v>
      </c>
      <c r="E8" s="185" t="s">
        <v>634</v>
      </c>
      <c r="F8" s="19">
        <v>6.26038212E8</v>
      </c>
      <c r="G8" s="186"/>
      <c r="H8" s="185">
        <v>6612.0</v>
      </c>
      <c r="I8" s="20" t="s">
        <v>127</v>
      </c>
      <c r="J8" s="185" t="s">
        <v>56</v>
      </c>
      <c r="K8" s="185">
        <v>8.826871385E9</v>
      </c>
      <c r="L8" s="188">
        <v>6300.0</v>
      </c>
      <c r="M8" s="186"/>
      <c r="N8" s="186"/>
      <c r="O8" s="186"/>
      <c r="P8" s="186"/>
      <c r="Q8" s="188" t="s">
        <v>655</v>
      </c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2"/>
      <c r="AZ8" s="2"/>
      <c r="BA8" s="2"/>
      <c r="BB8" s="2"/>
      <c r="BC8" s="2"/>
      <c r="BD8" s="2"/>
    </row>
    <row r="9">
      <c r="A9" s="153">
        <v>46026.0</v>
      </c>
      <c r="B9" s="154" t="s">
        <v>23</v>
      </c>
      <c r="C9" s="154" t="s">
        <v>656</v>
      </c>
      <c r="D9" s="154" t="s">
        <v>657</v>
      </c>
      <c r="E9" s="154" t="s">
        <v>634</v>
      </c>
      <c r="F9" s="19">
        <v>6.26038211E8</v>
      </c>
      <c r="G9" s="175"/>
      <c r="H9" s="154">
        <v>1229.0</v>
      </c>
      <c r="I9" s="20" t="s">
        <v>658</v>
      </c>
      <c r="J9" s="154" t="s">
        <v>141</v>
      </c>
      <c r="K9" s="154">
        <v>9.266016918E9</v>
      </c>
      <c r="L9" s="183">
        <v>3000.0</v>
      </c>
      <c r="M9" s="175"/>
      <c r="N9" s="175"/>
      <c r="O9" s="175"/>
      <c r="P9" s="175"/>
      <c r="Q9" s="176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2"/>
      <c r="AZ9" s="2"/>
      <c r="BA9" s="2"/>
      <c r="BB9" s="2"/>
      <c r="BC9" s="2"/>
      <c r="BD9" s="2"/>
    </row>
    <row r="10">
      <c r="A10" s="184">
        <v>46026.0</v>
      </c>
      <c r="B10" s="185" t="s">
        <v>23</v>
      </c>
      <c r="C10" s="185" t="s">
        <v>659</v>
      </c>
      <c r="D10" s="185" t="s">
        <v>660</v>
      </c>
      <c r="E10" s="185" t="s">
        <v>634</v>
      </c>
      <c r="F10" s="19">
        <v>6.26038223E8</v>
      </c>
      <c r="G10" s="186"/>
      <c r="H10" s="185">
        <v>1146.0</v>
      </c>
      <c r="I10" s="20" t="s">
        <v>661</v>
      </c>
      <c r="J10" s="185" t="s">
        <v>662</v>
      </c>
      <c r="K10" s="185">
        <v>9.810552297E9</v>
      </c>
      <c r="L10" s="188">
        <v>3000.0</v>
      </c>
      <c r="M10" s="186"/>
      <c r="N10" s="186"/>
      <c r="O10" s="186"/>
      <c r="P10" s="186"/>
      <c r="Q10" s="189"/>
      <c r="R10" s="190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2"/>
      <c r="AZ10" s="2"/>
      <c r="BA10" s="2"/>
      <c r="BB10" s="2"/>
      <c r="BC10" s="2"/>
      <c r="BD10" s="2"/>
    </row>
    <row r="11">
      <c r="A11" s="153">
        <v>46026.0</v>
      </c>
      <c r="B11" s="154" t="s">
        <v>23</v>
      </c>
      <c r="C11" s="154" t="s">
        <v>663</v>
      </c>
      <c r="D11" s="154" t="s">
        <v>664</v>
      </c>
      <c r="E11" s="154" t="s">
        <v>634</v>
      </c>
      <c r="F11" s="19">
        <v>6.26038216E8</v>
      </c>
      <c r="G11" s="175"/>
      <c r="H11" s="154">
        <v>1230.0</v>
      </c>
      <c r="I11" s="20" t="s">
        <v>665</v>
      </c>
      <c r="J11" s="154" t="s">
        <v>141</v>
      </c>
      <c r="K11" s="154">
        <v>8.506009561E9</v>
      </c>
      <c r="L11" s="183">
        <v>3144.0</v>
      </c>
      <c r="M11" s="175"/>
      <c r="N11" s="175"/>
      <c r="O11" s="175"/>
      <c r="P11" s="175"/>
      <c r="Q11" s="176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2"/>
      <c r="AZ11" s="2"/>
      <c r="BA11" s="2"/>
      <c r="BB11" s="2"/>
      <c r="BC11" s="2"/>
      <c r="BD11" s="2"/>
    </row>
    <row r="12">
      <c r="A12" s="184">
        <v>46026.0</v>
      </c>
      <c r="B12" s="185" t="s">
        <v>23</v>
      </c>
      <c r="C12" s="185" t="s">
        <v>666</v>
      </c>
      <c r="D12" s="185" t="s">
        <v>667</v>
      </c>
      <c r="E12" s="185" t="s">
        <v>634</v>
      </c>
      <c r="F12" s="19">
        <v>6.26038228E8</v>
      </c>
      <c r="G12" s="186"/>
      <c r="H12" s="185">
        <v>3133.0</v>
      </c>
      <c r="I12" s="20" t="s">
        <v>372</v>
      </c>
      <c r="J12" s="185" t="s">
        <v>373</v>
      </c>
      <c r="K12" s="185">
        <v>8.684015172E9</v>
      </c>
      <c r="L12" s="188">
        <v>3000.0</v>
      </c>
      <c r="M12" s="186"/>
      <c r="N12" s="186"/>
      <c r="O12" s="186"/>
      <c r="P12" s="186"/>
      <c r="Q12" s="189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2"/>
      <c r="AZ12" s="2"/>
      <c r="BA12" s="2"/>
      <c r="BB12" s="2"/>
      <c r="BC12" s="2"/>
      <c r="BD12" s="2"/>
    </row>
    <row r="13">
      <c r="A13" s="153">
        <v>46026.0</v>
      </c>
      <c r="B13" s="154" t="s">
        <v>668</v>
      </c>
      <c r="C13" s="154" t="s">
        <v>669</v>
      </c>
      <c r="D13" s="154" t="s">
        <v>670</v>
      </c>
      <c r="E13" s="154" t="s">
        <v>634</v>
      </c>
      <c r="F13" s="19">
        <v>6.26038133E8</v>
      </c>
      <c r="G13" s="175"/>
      <c r="H13" s="154">
        <v>6613.0</v>
      </c>
      <c r="I13" s="20" t="s">
        <v>124</v>
      </c>
      <c r="J13" s="154" t="s">
        <v>56</v>
      </c>
      <c r="K13" s="154">
        <v>9.120908161E9</v>
      </c>
      <c r="L13" s="191">
        <v>3000.0</v>
      </c>
      <c r="M13" s="175"/>
      <c r="N13" s="175"/>
      <c r="O13" s="175"/>
      <c r="P13" s="175"/>
      <c r="Q13" s="154">
        <v>250.0</v>
      </c>
      <c r="R13" s="154" t="s">
        <v>671</v>
      </c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2"/>
      <c r="AZ13" s="2"/>
      <c r="BA13" s="2"/>
      <c r="BB13" s="2"/>
      <c r="BC13" s="2"/>
      <c r="BD13" s="2"/>
    </row>
    <row r="14">
      <c r="A14" s="192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9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2"/>
      <c r="AZ14" s="2"/>
      <c r="BA14" s="2"/>
      <c r="BB14" s="2"/>
      <c r="BC14" s="2"/>
      <c r="BD14" s="2"/>
    </row>
    <row r="15">
      <c r="A15" s="193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6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2"/>
      <c r="AZ15" s="2"/>
      <c r="BA15" s="2"/>
      <c r="BB15" s="2"/>
      <c r="BC15" s="2"/>
      <c r="BD15" s="2"/>
    </row>
    <row r="16">
      <c r="A16" s="192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94">
        <f>SUM(L3:L14)</f>
        <v>34344</v>
      </c>
      <c r="M16" s="186"/>
      <c r="N16" s="186"/>
      <c r="O16" s="186"/>
      <c r="P16" s="186"/>
      <c r="Q16" s="189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2"/>
      <c r="AZ16" s="2"/>
      <c r="BA16" s="2"/>
      <c r="BB16" s="2"/>
      <c r="BC16" s="2"/>
      <c r="BD16" s="2"/>
    </row>
    <row r="17">
      <c r="A17" s="174">
        <v>46057.0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6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2"/>
      <c r="AZ17" s="2"/>
      <c r="BA17" s="2"/>
      <c r="BB17" s="2"/>
      <c r="BC17" s="2"/>
      <c r="BD17" s="2"/>
    </row>
    <row r="18" ht="42.0" customHeight="1">
      <c r="A18" s="195" t="s">
        <v>0</v>
      </c>
      <c r="B18" s="195" t="s">
        <v>1</v>
      </c>
      <c r="C18" s="196" t="s">
        <v>2</v>
      </c>
      <c r="D18" s="196" t="s">
        <v>3</v>
      </c>
      <c r="E18" s="196" t="s">
        <v>4</v>
      </c>
      <c r="F18" s="196" t="s">
        <v>642</v>
      </c>
      <c r="G18" s="196" t="s">
        <v>643</v>
      </c>
      <c r="H18" s="196" t="s">
        <v>7</v>
      </c>
      <c r="I18" s="196" t="s">
        <v>8</v>
      </c>
      <c r="J18" s="196" t="s">
        <v>9</v>
      </c>
      <c r="K18" s="197" t="s">
        <v>10</v>
      </c>
      <c r="L18" s="197" t="s">
        <v>644</v>
      </c>
      <c r="M18" s="198" t="s">
        <v>645</v>
      </c>
      <c r="N18" s="196" t="s">
        <v>13</v>
      </c>
      <c r="O18" s="199" t="s">
        <v>14</v>
      </c>
      <c r="P18" s="200" t="s">
        <v>646</v>
      </c>
      <c r="Q18" s="197" t="s">
        <v>647</v>
      </c>
      <c r="R18" s="196" t="s">
        <v>16</v>
      </c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</row>
    <row r="19">
      <c r="A19" s="153">
        <v>46057.0</v>
      </c>
      <c r="B19" s="154" t="s">
        <v>23</v>
      </c>
      <c r="C19" s="154" t="s">
        <v>672</v>
      </c>
      <c r="D19" s="154" t="s">
        <v>673</v>
      </c>
      <c r="E19" s="154" t="s">
        <v>634</v>
      </c>
      <c r="F19" s="19">
        <v>6.26038225E8</v>
      </c>
      <c r="G19" s="175"/>
      <c r="H19" s="202">
        <v>1231.0</v>
      </c>
      <c r="I19" s="20" t="s">
        <v>511</v>
      </c>
      <c r="J19" s="154" t="s">
        <v>141</v>
      </c>
      <c r="K19" s="154">
        <v>8.285997574E9</v>
      </c>
      <c r="L19" s="183">
        <v>3264.0</v>
      </c>
      <c r="M19" s="175"/>
      <c r="N19" s="175"/>
      <c r="O19" s="175"/>
      <c r="P19" s="175"/>
      <c r="Q19" s="176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2"/>
      <c r="AZ19" s="2"/>
      <c r="BA19" s="2"/>
      <c r="BB19" s="2"/>
      <c r="BC19" s="2"/>
      <c r="BD19" s="2"/>
    </row>
    <row r="20">
      <c r="A20" s="184">
        <v>46057.0</v>
      </c>
      <c r="B20" s="184">
        <v>46026.0</v>
      </c>
      <c r="C20" s="185" t="s">
        <v>255</v>
      </c>
      <c r="D20" s="185" t="s">
        <v>674</v>
      </c>
      <c r="E20" s="185" t="s">
        <v>650</v>
      </c>
      <c r="F20" s="19">
        <v>6.26047957E8</v>
      </c>
      <c r="G20" s="186"/>
      <c r="H20" s="185">
        <v>6615.0</v>
      </c>
      <c r="I20" s="20" t="s">
        <v>148</v>
      </c>
      <c r="J20" s="185" t="s">
        <v>56</v>
      </c>
      <c r="K20" s="185">
        <v>8.799720529E9</v>
      </c>
      <c r="L20" s="188">
        <v>9000.0</v>
      </c>
      <c r="M20" s="186"/>
      <c r="N20" s="186"/>
      <c r="O20" s="186"/>
      <c r="P20" s="186"/>
      <c r="Q20" s="185">
        <v>1500.0</v>
      </c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2"/>
      <c r="AZ20" s="2"/>
      <c r="BA20" s="2"/>
      <c r="BB20" s="2"/>
      <c r="BC20" s="2"/>
      <c r="BD20" s="2"/>
    </row>
    <row r="21">
      <c r="A21" s="153">
        <v>46057.0</v>
      </c>
      <c r="B21" s="154" t="s">
        <v>72</v>
      </c>
      <c r="C21" s="154" t="s">
        <v>633</v>
      </c>
      <c r="D21" s="154" t="s">
        <v>675</v>
      </c>
      <c r="E21" s="154" t="s">
        <v>634</v>
      </c>
      <c r="F21" s="154">
        <v>6.26038171E8</v>
      </c>
      <c r="G21" s="175"/>
      <c r="H21" s="154" t="s">
        <v>75</v>
      </c>
      <c r="I21" s="47" t="s">
        <v>76</v>
      </c>
      <c r="J21" s="202" t="s">
        <v>77</v>
      </c>
      <c r="K21" s="202">
        <v>9.810486602E9</v>
      </c>
      <c r="L21" s="183">
        <v>10.08</v>
      </c>
      <c r="M21" s="175"/>
      <c r="N21" s="175"/>
      <c r="O21" s="175"/>
      <c r="P21" s="175"/>
      <c r="Q21" s="183">
        <v>3.0</v>
      </c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2"/>
      <c r="AZ21" s="2"/>
      <c r="BA21" s="2"/>
      <c r="BB21" s="2"/>
      <c r="BC21" s="2"/>
      <c r="BD21" s="2"/>
    </row>
    <row r="22">
      <c r="A22" s="184">
        <v>46057.0</v>
      </c>
      <c r="B22" s="184">
        <v>46026.0</v>
      </c>
      <c r="C22" s="185" t="s">
        <v>633</v>
      </c>
      <c r="D22" s="185" t="s">
        <v>676</v>
      </c>
      <c r="E22" s="185" t="s">
        <v>634</v>
      </c>
      <c r="F22" s="45">
        <v>6.26030617E8</v>
      </c>
      <c r="G22" s="186"/>
      <c r="H22" s="185">
        <v>6616.0</v>
      </c>
      <c r="I22" s="20" t="s">
        <v>69</v>
      </c>
      <c r="J22" s="185" t="s">
        <v>56</v>
      </c>
      <c r="K22" s="203">
        <v>9.899885211E9</v>
      </c>
      <c r="L22" s="188">
        <v>551.52</v>
      </c>
      <c r="M22" s="186"/>
      <c r="N22" s="186"/>
      <c r="O22" s="186"/>
      <c r="P22" s="186"/>
      <c r="Q22" s="185">
        <v>73.0</v>
      </c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2"/>
      <c r="AZ22" s="2"/>
      <c r="BA22" s="2"/>
      <c r="BB22" s="2"/>
      <c r="BC22" s="2"/>
      <c r="BD22" s="2"/>
    </row>
    <row r="23">
      <c r="A23" s="153">
        <v>46057.0</v>
      </c>
      <c r="B23" s="153">
        <v>46026.0</v>
      </c>
      <c r="C23" s="154" t="s">
        <v>255</v>
      </c>
      <c r="D23" s="154" t="s">
        <v>674</v>
      </c>
      <c r="E23" s="154" t="s">
        <v>650</v>
      </c>
      <c r="F23" s="19">
        <v>6.26047954E8</v>
      </c>
      <c r="G23" s="175"/>
      <c r="H23" s="202">
        <v>12056.0</v>
      </c>
      <c r="I23" s="20" t="s">
        <v>677</v>
      </c>
      <c r="J23" s="154" t="s">
        <v>51</v>
      </c>
      <c r="K23" s="154">
        <v>8.708604401E9</v>
      </c>
      <c r="L23" s="183">
        <v>6000.0</v>
      </c>
      <c r="M23" s="175"/>
      <c r="N23" s="175"/>
      <c r="O23" s="175"/>
      <c r="P23" s="175"/>
      <c r="Q23" s="154">
        <v>1000.0</v>
      </c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2"/>
      <c r="AZ23" s="2"/>
      <c r="BA23" s="2"/>
      <c r="BB23" s="2"/>
      <c r="BC23" s="2"/>
      <c r="BD23" s="2"/>
    </row>
    <row r="24">
      <c r="A24" s="184">
        <v>46057.0</v>
      </c>
      <c r="B24" s="184">
        <v>46026.0</v>
      </c>
      <c r="C24" s="185" t="s">
        <v>255</v>
      </c>
      <c r="D24" s="185" t="s">
        <v>674</v>
      </c>
      <c r="E24" s="185" t="s">
        <v>650</v>
      </c>
      <c r="F24" s="19">
        <v>6.26047956E8</v>
      </c>
      <c r="G24" s="186"/>
      <c r="H24" s="204">
        <v>12056.0</v>
      </c>
      <c r="I24" s="20" t="s">
        <v>677</v>
      </c>
      <c r="J24" s="185" t="s">
        <v>51</v>
      </c>
      <c r="K24" s="185">
        <v>8.708604401E9</v>
      </c>
      <c r="L24" s="188">
        <v>6000.0</v>
      </c>
      <c r="M24" s="186"/>
      <c r="N24" s="186"/>
      <c r="O24" s="186"/>
      <c r="P24" s="186"/>
      <c r="Q24" s="185">
        <v>1000.0</v>
      </c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2"/>
      <c r="AZ24" s="2"/>
      <c r="BA24" s="2"/>
      <c r="BB24" s="2"/>
      <c r="BC24" s="2"/>
      <c r="BD24" s="2"/>
    </row>
    <row r="25">
      <c r="A25" s="153">
        <v>46057.0</v>
      </c>
      <c r="B25" s="154" t="s">
        <v>23</v>
      </c>
      <c r="C25" s="154" t="s">
        <v>678</v>
      </c>
      <c r="D25" s="154" t="s">
        <v>679</v>
      </c>
      <c r="E25" s="154" t="s">
        <v>650</v>
      </c>
      <c r="F25" s="19">
        <v>6.26038226E8</v>
      </c>
      <c r="G25" s="175"/>
      <c r="H25" s="202">
        <v>12059.0</v>
      </c>
      <c r="I25" s="47" t="s">
        <v>94</v>
      </c>
      <c r="J25" s="154" t="s">
        <v>51</v>
      </c>
      <c r="K25" s="154">
        <v>7.880857939E9</v>
      </c>
      <c r="L25" s="183">
        <v>9000.0</v>
      </c>
      <c r="M25" s="175"/>
      <c r="N25" s="175"/>
      <c r="O25" s="175"/>
      <c r="P25" s="175"/>
      <c r="Q25" s="176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2"/>
      <c r="AZ25" s="2"/>
      <c r="BA25" s="2"/>
      <c r="BB25" s="2"/>
      <c r="BC25" s="2"/>
      <c r="BD25" s="2"/>
    </row>
    <row r="26">
      <c r="A26" s="184"/>
      <c r="B26" s="185"/>
      <c r="C26" s="185"/>
      <c r="D26" s="185"/>
      <c r="E26" s="185"/>
      <c r="F26" s="185"/>
      <c r="G26" s="186"/>
      <c r="H26" s="185"/>
      <c r="I26" s="185"/>
      <c r="J26" s="185"/>
      <c r="K26" s="185"/>
      <c r="L26" s="188"/>
      <c r="M26" s="186"/>
      <c r="N26" s="186"/>
      <c r="O26" s="186"/>
      <c r="P26" s="186"/>
      <c r="Q26" s="189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2"/>
      <c r="AZ26" s="2"/>
      <c r="BA26" s="2"/>
      <c r="BB26" s="2"/>
      <c r="BC26" s="2"/>
      <c r="BD26" s="2"/>
    </row>
    <row r="27">
      <c r="A27" s="153"/>
      <c r="B27" s="154"/>
      <c r="C27" s="154"/>
      <c r="D27" s="154"/>
      <c r="E27" s="154"/>
      <c r="F27" s="154"/>
      <c r="G27" s="175"/>
      <c r="H27" s="154"/>
      <c r="I27" s="154"/>
      <c r="J27" s="154"/>
      <c r="K27" s="154"/>
      <c r="L27" s="205">
        <f>SUM(L19:L26)</f>
        <v>33825.6</v>
      </c>
      <c r="M27" s="175"/>
      <c r="N27" s="175"/>
      <c r="O27" s="175"/>
      <c r="P27" s="175"/>
      <c r="Q27" s="176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2"/>
      <c r="AZ27" s="2"/>
      <c r="BA27" s="2"/>
      <c r="BB27" s="2"/>
      <c r="BC27" s="2"/>
      <c r="BD27" s="2"/>
    </row>
    <row r="28">
      <c r="A28" s="184"/>
      <c r="B28" s="185"/>
      <c r="C28" s="185"/>
      <c r="D28" s="185"/>
      <c r="E28" s="185"/>
      <c r="F28" s="185"/>
      <c r="G28" s="186"/>
      <c r="H28" s="185"/>
      <c r="I28" s="185"/>
      <c r="J28" s="185"/>
      <c r="K28" s="185"/>
      <c r="L28" s="188"/>
      <c r="M28" s="186"/>
      <c r="N28" s="186"/>
      <c r="O28" s="186"/>
      <c r="P28" s="186"/>
      <c r="Q28" s="189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2"/>
      <c r="AZ28" s="2"/>
      <c r="BA28" s="2"/>
      <c r="BB28" s="2"/>
      <c r="BC28" s="2"/>
      <c r="BD28" s="2"/>
    </row>
    <row r="29">
      <c r="A29" s="206">
        <v>46085.0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6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2"/>
      <c r="AZ29" s="2"/>
      <c r="BA29" s="2"/>
      <c r="BB29" s="2"/>
      <c r="BC29" s="2"/>
      <c r="BD29" s="2"/>
    </row>
    <row r="30" ht="42.0" customHeight="1">
      <c r="A30" s="195" t="s">
        <v>0</v>
      </c>
      <c r="B30" s="195" t="s">
        <v>1</v>
      </c>
      <c r="C30" s="196" t="s">
        <v>2</v>
      </c>
      <c r="D30" s="196" t="s">
        <v>3</v>
      </c>
      <c r="E30" s="196" t="s">
        <v>4</v>
      </c>
      <c r="F30" s="196" t="s">
        <v>642</v>
      </c>
      <c r="G30" s="196" t="s">
        <v>643</v>
      </c>
      <c r="H30" s="196" t="s">
        <v>7</v>
      </c>
      <c r="I30" s="196" t="s">
        <v>8</v>
      </c>
      <c r="J30" s="196" t="s">
        <v>9</v>
      </c>
      <c r="K30" s="197" t="s">
        <v>10</v>
      </c>
      <c r="L30" s="197" t="s">
        <v>644</v>
      </c>
      <c r="M30" s="198" t="s">
        <v>645</v>
      </c>
      <c r="N30" s="196" t="s">
        <v>13</v>
      </c>
      <c r="O30" s="199" t="s">
        <v>14</v>
      </c>
      <c r="P30" s="200" t="s">
        <v>646</v>
      </c>
      <c r="Q30" s="197" t="s">
        <v>647</v>
      </c>
      <c r="R30" s="196" t="s">
        <v>16</v>
      </c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</row>
    <row r="31">
      <c r="A31" s="207">
        <v>46085.0</v>
      </c>
      <c r="B31" s="208">
        <v>46057.0</v>
      </c>
      <c r="C31" s="209" t="s">
        <v>680</v>
      </c>
      <c r="D31" s="209" t="s">
        <v>681</v>
      </c>
      <c r="E31" s="154" t="s">
        <v>634</v>
      </c>
      <c r="F31" s="64">
        <v>6.26047961E8</v>
      </c>
      <c r="H31" s="154">
        <v>6617.0</v>
      </c>
      <c r="I31" s="20" t="s">
        <v>124</v>
      </c>
      <c r="J31" s="154" t="s">
        <v>56</v>
      </c>
      <c r="K31" s="154">
        <v>9.120908161E9</v>
      </c>
      <c r="L31" s="210">
        <v>3300.0</v>
      </c>
      <c r="M31" s="211"/>
      <c r="N31" s="211"/>
      <c r="O31" s="211"/>
      <c r="P31" s="211"/>
      <c r="Q31" s="209">
        <v>525.0</v>
      </c>
      <c r="R31" s="209" t="s">
        <v>682</v>
      </c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51"/>
      <c r="AZ31" s="51"/>
      <c r="BA31" s="51"/>
      <c r="BB31" s="51"/>
      <c r="BC31" s="51"/>
      <c r="BD31" s="51"/>
    </row>
    <row r="32">
      <c r="A32" s="212">
        <v>46085.0</v>
      </c>
      <c r="B32" s="213">
        <v>46057.0</v>
      </c>
      <c r="C32" s="203" t="s">
        <v>683</v>
      </c>
      <c r="D32" s="203" t="s">
        <v>684</v>
      </c>
      <c r="E32" s="185" t="s">
        <v>634</v>
      </c>
      <c r="F32" s="64">
        <v>6.26047962E8</v>
      </c>
      <c r="H32" s="185">
        <v>1221.0</v>
      </c>
      <c r="I32" s="20" t="s">
        <v>511</v>
      </c>
      <c r="J32" s="185" t="s">
        <v>141</v>
      </c>
      <c r="K32" s="185">
        <v>8.285997574E9</v>
      </c>
      <c r="L32" s="214">
        <v>3000.0</v>
      </c>
      <c r="M32" s="215"/>
      <c r="N32" s="215"/>
      <c r="O32" s="215"/>
      <c r="P32" s="215"/>
      <c r="Q32" s="203">
        <v>500.0</v>
      </c>
      <c r="R32" s="203" t="s">
        <v>671</v>
      </c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51"/>
      <c r="AZ32" s="51"/>
      <c r="BA32" s="51"/>
      <c r="BB32" s="51"/>
      <c r="BC32" s="51"/>
      <c r="BD32" s="51"/>
    </row>
    <row r="33">
      <c r="A33" s="207">
        <v>46085.0</v>
      </c>
      <c r="B33" s="208">
        <v>46057.0</v>
      </c>
      <c r="C33" s="209" t="s">
        <v>685</v>
      </c>
      <c r="D33" s="209" t="s">
        <v>686</v>
      </c>
      <c r="E33" s="154" t="s">
        <v>634</v>
      </c>
      <c r="F33" s="64">
        <v>6.26047965E8</v>
      </c>
      <c r="H33" s="154">
        <v>1147.0</v>
      </c>
      <c r="I33" s="20" t="s">
        <v>661</v>
      </c>
      <c r="J33" s="154" t="s">
        <v>662</v>
      </c>
      <c r="K33" s="154">
        <v>9.810552297E9</v>
      </c>
      <c r="L33" s="210">
        <v>3000.0</v>
      </c>
      <c r="M33" s="211"/>
      <c r="N33" s="211"/>
      <c r="O33" s="211"/>
      <c r="P33" s="211"/>
      <c r="Q33" s="209">
        <v>500.0</v>
      </c>
      <c r="R33" s="209" t="s">
        <v>687</v>
      </c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51"/>
      <c r="AZ33" s="51"/>
      <c r="BA33" s="51"/>
      <c r="BB33" s="51"/>
      <c r="BC33" s="51"/>
      <c r="BD33" s="51"/>
    </row>
    <row r="34">
      <c r="A34" s="212">
        <v>46085.0</v>
      </c>
      <c r="B34" s="213">
        <v>46057.0</v>
      </c>
      <c r="C34" s="203" t="s">
        <v>685</v>
      </c>
      <c r="D34" s="203" t="s">
        <v>686</v>
      </c>
      <c r="E34" s="185" t="s">
        <v>634</v>
      </c>
      <c r="F34" s="203">
        <v>6.26047964E8</v>
      </c>
      <c r="H34" s="216" t="s">
        <v>29</v>
      </c>
      <c r="I34" s="74" t="s">
        <v>688</v>
      </c>
      <c r="J34" s="216" t="s">
        <v>263</v>
      </c>
      <c r="K34" s="185">
        <v>9.079894551E9</v>
      </c>
      <c r="L34" s="217">
        <v>248.0</v>
      </c>
      <c r="M34" s="215"/>
      <c r="N34" s="215"/>
      <c r="O34" s="215"/>
      <c r="P34" s="215"/>
      <c r="Q34" s="203">
        <v>22.0</v>
      </c>
      <c r="R34" s="203" t="s">
        <v>671</v>
      </c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51"/>
      <c r="AZ34" s="51"/>
      <c r="BA34" s="51"/>
      <c r="BB34" s="51"/>
      <c r="BC34" s="51"/>
      <c r="BD34" s="51"/>
    </row>
    <row r="35">
      <c r="A35" s="207">
        <v>46085.0</v>
      </c>
      <c r="B35" s="154" t="s">
        <v>23</v>
      </c>
      <c r="C35" s="154" t="s">
        <v>689</v>
      </c>
      <c r="D35" s="154" t="s">
        <v>690</v>
      </c>
      <c r="E35" s="154" t="s">
        <v>650</v>
      </c>
      <c r="F35" s="19">
        <v>6.26038229E8</v>
      </c>
      <c r="H35" s="202">
        <v>12061.0</v>
      </c>
      <c r="I35" s="20" t="s">
        <v>561</v>
      </c>
      <c r="J35" s="154" t="s">
        <v>51</v>
      </c>
      <c r="K35" s="202">
        <v>9.306615531E9</v>
      </c>
      <c r="L35" s="183">
        <v>12000.0</v>
      </c>
      <c r="M35" s="175"/>
      <c r="N35" s="175"/>
      <c r="O35" s="175"/>
      <c r="P35" s="175"/>
      <c r="Q35" s="176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2"/>
      <c r="AZ35" s="2"/>
      <c r="BA35" s="2"/>
      <c r="BB35" s="2"/>
      <c r="BC35" s="2"/>
      <c r="BD35" s="2"/>
    </row>
    <row r="36">
      <c r="A36" s="212">
        <v>46085.0</v>
      </c>
      <c r="B36" s="185" t="s">
        <v>23</v>
      </c>
      <c r="C36" s="185" t="s">
        <v>689</v>
      </c>
      <c r="D36" s="185" t="s">
        <v>690</v>
      </c>
      <c r="E36" s="185" t="s">
        <v>650</v>
      </c>
      <c r="F36" s="19">
        <v>6.2603823E8</v>
      </c>
      <c r="G36" s="186"/>
      <c r="H36" s="204">
        <v>12061.0</v>
      </c>
      <c r="I36" s="20" t="s">
        <v>561</v>
      </c>
      <c r="J36" s="185" t="s">
        <v>51</v>
      </c>
      <c r="K36" s="204">
        <v>9.306615531E9</v>
      </c>
      <c r="L36" s="188">
        <v>6200.0</v>
      </c>
      <c r="M36" s="186"/>
      <c r="N36" s="186"/>
      <c r="O36" s="186"/>
      <c r="P36" s="186"/>
      <c r="Q36" s="189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2"/>
      <c r="AZ36" s="2"/>
      <c r="BA36" s="2"/>
      <c r="BB36" s="2"/>
      <c r="BC36" s="2"/>
      <c r="BD36" s="2"/>
    </row>
    <row r="37">
      <c r="A37" s="207">
        <v>46085.0</v>
      </c>
      <c r="B37" s="154" t="s">
        <v>86</v>
      </c>
      <c r="C37" s="154" t="s">
        <v>112</v>
      </c>
      <c r="D37" s="209" t="s">
        <v>375</v>
      </c>
      <c r="E37" s="154" t="s">
        <v>634</v>
      </c>
      <c r="F37" s="19">
        <v>6.2603819E8</v>
      </c>
      <c r="G37" s="175"/>
      <c r="H37" s="202">
        <v>6620.0</v>
      </c>
      <c r="I37" s="20" t="s">
        <v>114</v>
      </c>
      <c r="J37" s="154" t="s">
        <v>56</v>
      </c>
      <c r="K37" s="154">
        <v>9.956958533E9</v>
      </c>
      <c r="L37" s="183">
        <v>72.0</v>
      </c>
      <c r="M37" s="175"/>
      <c r="N37" s="175"/>
      <c r="O37" s="175"/>
      <c r="P37" s="175"/>
      <c r="Q37" s="183">
        <v>30.0</v>
      </c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2"/>
      <c r="AZ37" s="2"/>
      <c r="BA37" s="2"/>
      <c r="BB37" s="2"/>
      <c r="BC37" s="2"/>
      <c r="BD37" s="2"/>
    </row>
    <row r="38" ht="16.5" customHeight="1">
      <c r="A38" s="212">
        <v>46085.0</v>
      </c>
      <c r="B38" s="184">
        <v>46026.0</v>
      </c>
      <c r="C38" s="185" t="s">
        <v>112</v>
      </c>
      <c r="D38" s="203" t="s">
        <v>375</v>
      </c>
      <c r="E38" s="185" t="s">
        <v>634</v>
      </c>
      <c r="F38" s="19">
        <v>6.26047953E8</v>
      </c>
      <c r="G38" s="186"/>
      <c r="H38" s="204">
        <v>6620.0</v>
      </c>
      <c r="I38" s="20" t="s">
        <v>114</v>
      </c>
      <c r="J38" s="185" t="s">
        <v>56</v>
      </c>
      <c r="K38" s="185">
        <v>9.956958533E9</v>
      </c>
      <c r="L38" s="218">
        <f>50*5.8</f>
        <v>290</v>
      </c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2"/>
      <c r="AZ38" s="2"/>
      <c r="BA38" s="2"/>
      <c r="BB38" s="2"/>
      <c r="BC38" s="2"/>
      <c r="BD38" s="2"/>
    </row>
    <row r="39">
      <c r="A39" s="207">
        <v>46085.0</v>
      </c>
      <c r="B39" s="208">
        <v>46085.0</v>
      </c>
      <c r="C39" s="154" t="s">
        <v>112</v>
      </c>
      <c r="D39" s="209" t="s">
        <v>375</v>
      </c>
      <c r="E39" s="154" t="s">
        <v>634</v>
      </c>
      <c r="F39" s="64">
        <v>6.26047966E8</v>
      </c>
      <c r="H39" s="202">
        <v>6620.0</v>
      </c>
      <c r="I39" s="20" t="s">
        <v>114</v>
      </c>
      <c r="J39" s="154" t="s">
        <v>56</v>
      </c>
      <c r="K39" s="154">
        <v>9.956958533E9</v>
      </c>
      <c r="L39" s="219">
        <v>2400.0</v>
      </c>
      <c r="N39" s="175"/>
      <c r="O39" s="175"/>
      <c r="P39" s="175"/>
      <c r="Q39" s="219">
        <v>350.0</v>
      </c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2"/>
      <c r="AZ39" s="2"/>
      <c r="BA39" s="2"/>
      <c r="BB39" s="2"/>
      <c r="BC39" s="2"/>
      <c r="BD39" s="2"/>
    </row>
    <row r="40">
      <c r="A40" s="212">
        <v>46085.0</v>
      </c>
      <c r="B40" s="212">
        <v>46085.0</v>
      </c>
      <c r="C40" s="204" t="s">
        <v>691</v>
      </c>
      <c r="D40" s="204" t="s">
        <v>692</v>
      </c>
      <c r="E40" s="185" t="s">
        <v>634</v>
      </c>
      <c r="F40" s="45">
        <v>6.26047967E8</v>
      </c>
      <c r="G40" s="186"/>
      <c r="H40" s="204">
        <v>6621.0</v>
      </c>
      <c r="I40" s="20" t="s">
        <v>148</v>
      </c>
      <c r="J40" s="185" t="s">
        <v>56</v>
      </c>
      <c r="K40" s="185">
        <v>8.799720529E9</v>
      </c>
      <c r="L40" s="217">
        <v>12000.0</v>
      </c>
      <c r="M40" s="186"/>
      <c r="N40" s="186"/>
      <c r="O40" s="186"/>
      <c r="P40" s="186"/>
      <c r="Q40" s="188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2"/>
      <c r="AZ40" s="2"/>
      <c r="BA40" s="2"/>
      <c r="BB40" s="2"/>
      <c r="BC40" s="2"/>
      <c r="BD40" s="2"/>
    </row>
    <row r="41">
      <c r="A41" s="207"/>
      <c r="B41" s="154"/>
      <c r="C41" s="154"/>
      <c r="D41" s="154"/>
      <c r="E41" s="154"/>
      <c r="F41" s="154"/>
      <c r="G41" s="175"/>
      <c r="H41" s="175"/>
      <c r="I41" s="175"/>
      <c r="J41" s="175"/>
      <c r="K41" s="175"/>
      <c r="L41" s="183"/>
      <c r="M41" s="175"/>
      <c r="N41" s="175"/>
      <c r="O41" s="175"/>
      <c r="P41" s="175"/>
      <c r="Q41" s="183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2"/>
      <c r="AZ41" s="2"/>
      <c r="BA41" s="2"/>
      <c r="BB41" s="2"/>
      <c r="BC41" s="2"/>
      <c r="BD41" s="2"/>
    </row>
    <row r="42">
      <c r="A42" s="212"/>
      <c r="B42" s="185"/>
      <c r="C42" s="185"/>
      <c r="D42" s="185"/>
      <c r="E42" s="185"/>
      <c r="F42" s="185"/>
      <c r="G42" s="186"/>
      <c r="H42" s="186"/>
      <c r="I42" s="186"/>
      <c r="J42" s="186"/>
      <c r="K42" s="186"/>
      <c r="L42" s="194">
        <f>SUM(L31:L41)</f>
        <v>42510</v>
      </c>
      <c r="M42" s="186"/>
      <c r="N42" s="186"/>
      <c r="O42" s="186"/>
      <c r="P42" s="186"/>
      <c r="Q42" s="188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2"/>
      <c r="AZ42" s="2"/>
      <c r="BA42" s="2"/>
      <c r="BB42" s="2"/>
      <c r="BC42" s="2"/>
      <c r="BD42" s="2"/>
    </row>
    <row r="43">
      <c r="A43" s="206">
        <v>46116.0</v>
      </c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6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2"/>
      <c r="AZ43" s="2"/>
      <c r="BA43" s="2"/>
      <c r="BB43" s="2"/>
      <c r="BC43" s="2"/>
      <c r="BD43" s="2"/>
    </row>
    <row r="44" ht="42.0" customHeight="1">
      <c r="A44" s="195" t="s">
        <v>0</v>
      </c>
      <c r="B44" s="195" t="s">
        <v>1</v>
      </c>
      <c r="C44" s="196" t="s">
        <v>2</v>
      </c>
      <c r="D44" s="196" t="s">
        <v>3</v>
      </c>
      <c r="E44" s="196" t="s">
        <v>4</v>
      </c>
      <c r="F44" s="196" t="s">
        <v>642</v>
      </c>
      <c r="G44" s="196" t="s">
        <v>643</v>
      </c>
      <c r="H44" s="196" t="s">
        <v>7</v>
      </c>
      <c r="I44" s="196" t="s">
        <v>8</v>
      </c>
      <c r="J44" s="196" t="s">
        <v>9</v>
      </c>
      <c r="K44" s="197" t="s">
        <v>10</v>
      </c>
      <c r="L44" s="197" t="s">
        <v>644</v>
      </c>
      <c r="M44" s="198" t="s">
        <v>645</v>
      </c>
      <c r="N44" s="196" t="s">
        <v>13</v>
      </c>
      <c r="O44" s="199" t="s">
        <v>14</v>
      </c>
      <c r="P44" s="200" t="s">
        <v>646</v>
      </c>
      <c r="Q44" s="197" t="s">
        <v>647</v>
      </c>
      <c r="R44" s="196" t="s">
        <v>16</v>
      </c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</row>
    <row r="45">
      <c r="A45" s="207">
        <v>46116.0</v>
      </c>
      <c r="B45" s="153">
        <v>46026.0</v>
      </c>
      <c r="C45" s="154" t="s">
        <v>255</v>
      </c>
      <c r="D45" s="154" t="s">
        <v>674</v>
      </c>
      <c r="E45" s="154" t="s">
        <v>650</v>
      </c>
      <c r="F45" s="19">
        <v>6.26047955E8</v>
      </c>
      <c r="G45" s="175"/>
      <c r="H45" s="220">
        <v>12062.0</v>
      </c>
      <c r="I45" s="20" t="s">
        <v>693</v>
      </c>
      <c r="J45" s="154" t="s">
        <v>51</v>
      </c>
      <c r="K45" s="220">
        <v>8.059611294E9</v>
      </c>
      <c r="L45" s="154">
        <v>6000.0</v>
      </c>
      <c r="M45" s="175"/>
      <c r="N45" s="175"/>
      <c r="O45" s="175"/>
      <c r="P45" s="175"/>
      <c r="Q45" s="154">
        <v>1000.0</v>
      </c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2"/>
      <c r="AZ45" s="2"/>
      <c r="BA45" s="2"/>
      <c r="BB45" s="2"/>
      <c r="BC45" s="2"/>
      <c r="BD45" s="2"/>
    </row>
    <row r="46">
      <c r="A46" s="212">
        <v>46116.0</v>
      </c>
      <c r="B46" s="184">
        <v>46026.0</v>
      </c>
      <c r="C46" s="185" t="s">
        <v>255</v>
      </c>
      <c r="D46" s="185" t="s">
        <v>674</v>
      </c>
      <c r="E46" s="185" t="s">
        <v>650</v>
      </c>
      <c r="F46" s="19">
        <v>6.26047958E8</v>
      </c>
      <c r="G46" s="186"/>
      <c r="H46" s="216">
        <v>12062.0</v>
      </c>
      <c r="I46" s="20" t="s">
        <v>693</v>
      </c>
      <c r="J46" s="185" t="s">
        <v>51</v>
      </c>
      <c r="K46" s="216">
        <v>8.059611294E9</v>
      </c>
      <c r="L46" s="185">
        <v>6000.0</v>
      </c>
      <c r="M46" s="186"/>
      <c r="N46" s="186"/>
      <c r="O46" s="186"/>
      <c r="P46" s="186"/>
      <c r="Q46" s="185">
        <v>500.0</v>
      </c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2"/>
      <c r="AZ46" s="2"/>
      <c r="BA46" s="2"/>
      <c r="BB46" s="2"/>
      <c r="BC46" s="2"/>
      <c r="BD46" s="2"/>
    </row>
    <row r="47">
      <c r="A47" s="207">
        <v>46116.0</v>
      </c>
      <c r="B47" s="154" t="s">
        <v>23</v>
      </c>
      <c r="C47" s="154" t="s">
        <v>694</v>
      </c>
      <c r="D47" s="154" t="s">
        <v>695</v>
      </c>
      <c r="E47" s="154" t="s">
        <v>634</v>
      </c>
      <c r="F47" s="19">
        <v>6.26038221E8</v>
      </c>
      <c r="G47" s="175"/>
      <c r="H47" s="220">
        <v>3136.0</v>
      </c>
      <c r="I47" s="20" t="s">
        <v>372</v>
      </c>
      <c r="J47" s="154" t="s">
        <v>373</v>
      </c>
      <c r="K47" s="154">
        <v>8.684015172E9</v>
      </c>
      <c r="L47" s="183">
        <v>2000.0</v>
      </c>
      <c r="M47" s="175"/>
      <c r="N47" s="175"/>
      <c r="O47" s="175"/>
      <c r="P47" s="175"/>
      <c r="Q47" s="176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2"/>
      <c r="AZ47" s="2"/>
      <c r="BA47" s="2"/>
      <c r="BB47" s="2"/>
      <c r="BC47" s="2"/>
      <c r="BD47" s="2"/>
    </row>
    <row r="48">
      <c r="A48" s="212">
        <v>46116.0</v>
      </c>
      <c r="B48" s="212">
        <v>46116.0</v>
      </c>
      <c r="C48" s="203" t="s">
        <v>696</v>
      </c>
      <c r="D48" s="204" t="s">
        <v>697</v>
      </c>
      <c r="E48" s="204" t="s">
        <v>601</v>
      </c>
      <c r="F48" s="204">
        <v>6.26047973E8</v>
      </c>
      <c r="G48" s="186"/>
      <c r="H48" s="216" t="s">
        <v>29</v>
      </c>
      <c r="I48" s="20" t="s">
        <v>63</v>
      </c>
      <c r="J48" s="185" t="s">
        <v>64</v>
      </c>
      <c r="K48" s="185">
        <v>9.779272314E9</v>
      </c>
      <c r="L48" s="217">
        <v>2340.0</v>
      </c>
      <c r="M48" s="186"/>
      <c r="N48" s="186"/>
      <c r="O48" s="186"/>
      <c r="P48" s="186"/>
      <c r="Q48" s="188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2"/>
      <c r="AZ48" s="2"/>
      <c r="BA48" s="2"/>
      <c r="BB48" s="2"/>
      <c r="BC48" s="2"/>
      <c r="BD48" s="2"/>
    </row>
    <row r="49">
      <c r="A49" s="207"/>
      <c r="B49" s="154"/>
      <c r="C49" s="154"/>
      <c r="D49" s="154"/>
      <c r="E49" s="154"/>
      <c r="F49" s="154"/>
      <c r="G49" s="175"/>
      <c r="H49" s="175"/>
      <c r="I49" s="175"/>
      <c r="J49" s="153"/>
      <c r="K49" s="175"/>
      <c r="L49" s="221">
        <f>SUM(L45:L48)</f>
        <v>16340</v>
      </c>
      <c r="M49" s="175"/>
      <c r="N49" s="175"/>
      <c r="O49" s="175"/>
      <c r="P49" s="175"/>
      <c r="Q49" s="183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2"/>
      <c r="AZ49" s="2"/>
      <c r="BA49" s="2"/>
      <c r="BB49" s="2"/>
      <c r="BC49" s="2"/>
      <c r="BD49" s="2"/>
    </row>
    <row r="50">
      <c r="A50" s="212"/>
      <c r="B50" s="185"/>
      <c r="C50" s="185"/>
      <c r="D50" s="185"/>
      <c r="E50" s="185"/>
      <c r="F50" s="185"/>
      <c r="G50" s="186"/>
      <c r="H50" s="186"/>
      <c r="I50" s="186"/>
      <c r="J50" s="184"/>
      <c r="K50" s="186"/>
      <c r="L50" s="188"/>
      <c r="M50" s="186"/>
      <c r="N50" s="186"/>
      <c r="O50" s="186"/>
      <c r="P50" s="186"/>
      <c r="Q50" s="188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  <c r="AY50" s="2"/>
      <c r="AZ50" s="2"/>
      <c r="BA50" s="2"/>
      <c r="BB50" s="2"/>
      <c r="BC50" s="2"/>
      <c r="BD50" s="2"/>
    </row>
    <row r="51">
      <c r="A51" s="207"/>
      <c r="B51" s="154"/>
      <c r="C51" s="154"/>
      <c r="D51" s="154"/>
      <c r="E51" s="154"/>
      <c r="F51" s="154"/>
      <c r="G51" s="175"/>
      <c r="H51" s="175"/>
      <c r="I51" s="175"/>
      <c r="J51" s="153"/>
      <c r="K51" s="175"/>
      <c r="L51" s="183"/>
      <c r="M51" s="175"/>
      <c r="N51" s="175"/>
      <c r="O51" s="175"/>
      <c r="P51" s="175"/>
      <c r="Q51" s="183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2"/>
      <c r="AZ51" s="2"/>
      <c r="BA51" s="2"/>
      <c r="BB51" s="2"/>
      <c r="BC51" s="2"/>
      <c r="BD51" s="2"/>
    </row>
    <row r="52">
      <c r="A52" s="206">
        <v>46177.0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9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2"/>
      <c r="AZ52" s="2"/>
      <c r="BA52" s="2"/>
      <c r="BB52" s="2"/>
      <c r="BC52" s="2"/>
      <c r="BD52" s="2"/>
    </row>
    <row r="53" ht="42.0" customHeight="1">
      <c r="A53" s="195" t="s">
        <v>0</v>
      </c>
      <c r="B53" s="195" t="s">
        <v>1</v>
      </c>
      <c r="C53" s="196" t="s">
        <v>2</v>
      </c>
      <c r="D53" s="196" t="s">
        <v>3</v>
      </c>
      <c r="E53" s="196" t="s">
        <v>4</v>
      </c>
      <c r="F53" s="196" t="s">
        <v>642</v>
      </c>
      <c r="G53" s="196" t="s">
        <v>643</v>
      </c>
      <c r="H53" s="196" t="s">
        <v>7</v>
      </c>
      <c r="I53" s="196" t="s">
        <v>8</v>
      </c>
      <c r="J53" s="196" t="s">
        <v>9</v>
      </c>
      <c r="K53" s="197" t="s">
        <v>10</v>
      </c>
      <c r="L53" s="197" t="s">
        <v>644</v>
      </c>
      <c r="M53" s="198" t="s">
        <v>645</v>
      </c>
      <c r="N53" s="196" t="s">
        <v>13</v>
      </c>
      <c r="O53" s="199" t="s">
        <v>14</v>
      </c>
      <c r="P53" s="200" t="s">
        <v>646</v>
      </c>
      <c r="Q53" s="197" t="s">
        <v>647</v>
      </c>
      <c r="R53" s="196" t="s">
        <v>16</v>
      </c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</row>
    <row r="54">
      <c r="A54" s="212">
        <v>46177.0</v>
      </c>
      <c r="B54" s="185" t="s">
        <v>23</v>
      </c>
      <c r="C54" s="185" t="s">
        <v>698</v>
      </c>
      <c r="D54" s="185" t="s">
        <v>699</v>
      </c>
      <c r="E54" s="185" t="s">
        <v>634</v>
      </c>
      <c r="F54" s="19">
        <v>6.2603822E8</v>
      </c>
      <c r="G54" s="186"/>
      <c r="H54" s="204">
        <v>1235.0</v>
      </c>
      <c r="I54" s="20" t="s">
        <v>511</v>
      </c>
      <c r="J54" s="185" t="s">
        <v>141</v>
      </c>
      <c r="K54" s="185">
        <v>8.285997574E9</v>
      </c>
      <c r="L54" s="188">
        <v>2820.0</v>
      </c>
      <c r="M54" s="186"/>
      <c r="N54" s="186"/>
      <c r="O54" s="186"/>
      <c r="P54" s="186"/>
      <c r="Q54" s="189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2"/>
      <c r="AZ54" s="2"/>
      <c r="BA54" s="2"/>
      <c r="BB54" s="2"/>
      <c r="BC54" s="2"/>
      <c r="BD54" s="2"/>
    </row>
    <row r="55">
      <c r="A55" s="207">
        <v>46177.0</v>
      </c>
      <c r="B55" s="154" t="s">
        <v>23</v>
      </c>
      <c r="C55" s="154" t="s">
        <v>700</v>
      </c>
      <c r="D55" s="154" t="s">
        <v>701</v>
      </c>
      <c r="E55" s="154" t="s">
        <v>634</v>
      </c>
      <c r="F55" s="19">
        <v>6.26038227E8</v>
      </c>
      <c r="G55" s="175"/>
      <c r="H55" s="202">
        <v>6630.0</v>
      </c>
      <c r="I55" s="52" t="s">
        <v>124</v>
      </c>
      <c r="J55" s="154" t="s">
        <v>56</v>
      </c>
      <c r="K55" s="202">
        <v>7.290982776E9</v>
      </c>
      <c r="L55" s="183">
        <v>3480.0</v>
      </c>
      <c r="M55" s="175"/>
      <c r="N55" s="175"/>
      <c r="O55" s="175"/>
      <c r="P55" s="175"/>
      <c r="Q55" s="183">
        <v>290.0</v>
      </c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2"/>
      <c r="AZ55" s="2"/>
      <c r="BA55" s="2"/>
      <c r="BB55" s="2"/>
      <c r="BC55" s="2"/>
      <c r="BD55" s="2"/>
    </row>
    <row r="56">
      <c r="A56" s="212">
        <v>46177.0</v>
      </c>
      <c r="B56" s="185" t="s">
        <v>23</v>
      </c>
      <c r="C56" s="185" t="s">
        <v>702</v>
      </c>
      <c r="D56" s="185" t="s">
        <v>703</v>
      </c>
      <c r="E56" s="185" t="s">
        <v>634</v>
      </c>
      <c r="F56" s="19">
        <v>6.26038224E8</v>
      </c>
      <c r="G56" s="186"/>
      <c r="H56" s="204">
        <v>6629.0</v>
      </c>
      <c r="I56" s="20" t="s">
        <v>127</v>
      </c>
      <c r="J56" s="185" t="s">
        <v>56</v>
      </c>
      <c r="K56" s="185">
        <v>8.826871385E9</v>
      </c>
      <c r="L56" s="188">
        <v>6300.0</v>
      </c>
      <c r="M56" s="186"/>
      <c r="N56" s="186"/>
      <c r="O56" s="186"/>
      <c r="P56" s="186"/>
      <c r="Q56" s="189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2"/>
      <c r="AZ56" s="2"/>
      <c r="BA56" s="2"/>
      <c r="BB56" s="2"/>
      <c r="BC56" s="2"/>
      <c r="BD56" s="2"/>
    </row>
    <row r="57">
      <c r="A57" s="207">
        <v>46177.0</v>
      </c>
      <c r="B57" s="154" t="s">
        <v>23</v>
      </c>
      <c r="C57" s="154" t="s">
        <v>704</v>
      </c>
      <c r="D57" s="154" t="s">
        <v>705</v>
      </c>
      <c r="E57" s="154" t="s">
        <v>634</v>
      </c>
      <c r="F57" s="19">
        <v>6.26038222E8</v>
      </c>
      <c r="G57" s="175"/>
      <c r="H57" s="202">
        <v>6631.0</v>
      </c>
      <c r="I57" s="47" t="s">
        <v>360</v>
      </c>
      <c r="J57" s="154" t="s">
        <v>56</v>
      </c>
      <c r="K57" s="202">
        <v>7.355962044E9</v>
      </c>
      <c r="L57" s="183">
        <v>3480.0</v>
      </c>
      <c r="M57" s="175"/>
      <c r="N57" s="175"/>
      <c r="O57" s="175"/>
      <c r="P57" s="175"/>
      <c r="Q57" s="176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2"/>
      <c r="AZ57" s="2"/>
      <c r="BA57" s="2"/>
      <c r="BB57" s="2"/>
      <c r="BC57" s="2"/>
      <c r="BD57" s="2"/>
    </row>
    <row r="58" ht="15.75" customHeight="1">
      <c r="A58" s="212">
        <v>46177.0</v>
      </c>
      <c r="B58" s="212">
        <v>46177.0</v>
      </c>
      <c r="C58" s="216" t="s">
        <v>706</v>
      </c>
      <c r="D58" s="204" t="s">
        <v>707</v>
      </c>
      <c r="E58" s="185" t="s">
        <v>634</v>
      </c>
      <c r="F58" s="216">
        <v>6.26047976E8</v>
      </c>
      <c r="G58" s="204" t="s">
        <v>708</v>
      </c>
      <c r="H58" s="185"/>
      <c r="I58" s="185"/>
      <c r="J58" s="204" t="s">
        <v>263</v>
      </c>
      <c r="K58" s="185"/>
      <c r="L58" s="217">
        <v>600.0</v>
      </c>
      <c r="M58" s="185"/>
      <c r="N58" s="185"/>
      <c r="O58" s="185"/>
      <c r="P58" s="185"/>
      <c r="Q58" s="188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76"/>
      <c r="AZ58" s="76"/>
      <c r="BA58" s="76"/>
      <c r="BB58" s="76"/>
      <c r="BC58" s="76"/>
      <c r="BD58" s="76"/>
    </row>
    <row r="59">
      <c r="A59" s="207"/>
      <c r="B59" s="154"/>
      <c r="C59" s="154"/>
      <c r="D59" s="154"/>
      <c r="E59" s="154"/>
      <c r="F59" s="154"/>
      <c r="G59" s="175"/>
      <c r="H59" s="175"/>
      <c r="I59" s="175"/>
      <c r="J59" s="154"/>
      <c r="K59" s="175"/>
      <c r="L59" s="183"/>
      <c r="M59" s="175"/>
      <c r="N59" s="175"/>
      <c r="O59" s="175"/>
      <c r="P59" s="175"/>
      <c r="Q59" s="176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2"/>
      <c r="AZ59" s="2"/>
      <c r="BA59" s="2"/>
      <c r="BB59" s="2"/>
      <c r="BC59" s="2"/>
      <c r="BD59" s="2"/>
    </row>
    <row r="60">
      <c r="A60" s="212"/>
      <c r="B60" s="185"/>
      <c r="C60" s="185"/>
      <c r="D60" s="185"/>
      <c r="E60" s="185"/>
      <c r="F60" s="185"/>
      <c r="G60" s="186"/>
      <c r="H60" s="186"/>
      <c r="I60" s="186"/>
      <c r="J60" s="185"/>
      <c r="K60" s="186"/>
      <c r="L60" s="222">
        <f>SUM(L54:L59)</f>
        <v>16680</v>
      </c>
      <c r="M60" s="186"/>
      <c r="N60" s="186"/>
      <c r="O60" s="186"/>
      <c r="P60" s="186"/>
      <c r="Q60" s="189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2"/>
      <c r="AZ60" s="2"/>
      <c r="BA60" s="2"/>
      <c r="BB60" s="2"/>
      <c r="BC60" s="2"/>
      <c r="BD60" s="2"/>
    </row>
    <row r="61">
      <c r="A61" s="207"/>
      <c r="B61" s="154"/>
      <c r="C61" s="154"/>
      <c r="D61" s="154"/>
      <c r="E61" s="154"/>
      <c r="F61" s="154"/>
      <c r="G61" s="175"/>
      <c r="H61" s="175"/>
      <c r="I61" s="175"/>
      <c r="J61" s="154"/>
      <c r="K61" s="175"/>
      <c r="L61" s="183"/>
      <c r="M61" s="175"/>
      <c r="N61" s="175"/>
      <c r="O61" s="175"/>
      <c r="P61" s="175"/>
      <c r="Q61" s="176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2"/>
      <c r="AZ61" s="2"/>
      <c r="BA61" s="2"/>
      <c r="BB61" s="2"/>
      <c r="BC61" s="2"/>
      <c r="BD61" s="2"/>
    </row>
    <row r="62">
      <c r="A62" s="206">
        <v>46207.0</v>
      </c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9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  <c r="AY62" s="2"/>
      <c r="AZ62" s="2"/>
      <c r="BA62" s="2"/>
      <c r="BB62" s="2"/>
      <c r="BC62" s="2"/>
      <c r="BD62" s="2"/>
    </row>
    <row r="63" ht="42.0" customHeight="1">
      <c r="A63" s="195" t="s">
        <v>0</v>
      </c>
      <c r="B63" s="195" t="s">
        <v>1</v>
      </c>
      <c r="C63" s="196" t="s">
        <v>2</v>
      </c>
      <c r="D63" s="196" t="s">
        <v>3</v>
      </c>
      <c r="E63" s="196" t="s">
        <v>4</v>
      </c>
      <c r="F63" s="196" t="s">
        <v>642</v>
      </c>
      <c r="G63" s="196" t="s">
        <v>643</v>
      </c>
      <c r="H63" s="196" t="s">
        <v>7</v>
      </c>
      <c r="I63" s="196" t="s">
        <v>8</v>
      </c>
      <c r="J63" s="196" t="s">
        <v>9</v>
      </c>
      <c r="K63" s="197" t="s">
        <v>10</v>
      </c>
      <c r="L63" s="197" t="s">
        <v>644</v>
      </c>
      <c r="M63" s="198" t="s">
        <v>645</v>
      </c>
      <c r="N63" s="196" t="s">
        <v>13</v>
      </c>
      <c r="O63" s="199" t="s">
        <v>14</v>
      </c>
      <c r="P63" s="200" t="s">
        <v>646</v>
      </c>
      <c r="Q63" s="197" t="s">
        <v>647</v>
      </c>
      <c r="R63" s="196" t="s">
        <v>16</v>
      </c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  <c r="BC63" s="201"/>
      <c r="BD63" s="201"/>
    </row>
    <row r="64">
      <c r="A64" s="212">
        <v>46207.0</v>
      </c>
      <c r="B64" s="213">
        <v>46177.0</v>
      </c>
      <c r="C64" s="203" t="s">
        <v>709</v>
      </c>
      <c r="D64" s="203" t="s">
        <v>710</v>
      </c>
      <c r="E64" s="216" t="s">
        <v>634</v>
      </c>
      <c r="F64" s="64">
        <v>6.26047977E8</v>
      </c>
      <c r="H64" s="216">
        <v>1240.0</v>
      </c>
      <c r="I64" s="20" t="s">
        <v>511</v>
      </c>
      <c r="J64" s="185" t="s">
        <v>141</v>
      </c>
      <c r="K64" s="185">
        <v>8.285997574E9</v>
      </c>
      <c r="L64" s="223">
        <v>3000.0</v>
      </c>
      <c r="O64" s="186"/>
      <c r="P64" s="186"/>
      <c r="Q64" s="223">
        <v>500.0</v>
      </c>
      <c r="R64" s="223" t="s">
        <v>671</v>
      </c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2"/>
      <c r="AZ64" s="2"/>
      <c r="BA64" s="2"/>
      <c r="BB64" s="2"/>
      <c r="BC64" s="2"/>
      <c r="BD64" s="2"/>
    </row>
    <row r="65">
      <c r="A65" s="207">
        <v>46207.0</v>
      </c>
      <c r="B65" s="208">
        <v>46177.0</v>
      </c>
      <c r="C65" s="209" t="s">
        <v>709</v>
      </c>
      <c r="D65" s="209" t="s">
        <v>710</v>
      </c>
      <c r="E65" s="220" t="s">
        <v>634</v>
      </c>
      <c r="F65" s="64">
        <v>6.26047978E8</v>
      </c>
      <c r="H65" s="220">
        <v>1241.0</v>
      </c>
      <c r="I65" s="74" t="s">
        <v>711</v>
      </c>
      <c r="J65" s="220" t="s">
        <v>141</v>
      </c>
      <c r="K65" s="202">
        <v>8.527548248E9</v>
      </c>
      <c r="L65" s="219">
        <v>3000.0</v>
      </c>
      <c r="O65" s="175"/>
      <c r="P65" s="175"/>
      <c r="Q65" s="219">
        <v>500.0</v>
      </c>
      <c r="R65" s="219" t="s">
        <v>671</v>
      </c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2"/>
      <c r="AZ65" s="2"/>
      <c r="BA65" s="2"/>
      <c r="BB65" s="2"/>
      <c r="BC65" s="2"/>
      <c r="BD65" s="2"/>
    </row>
    <row r="66">
      <c r="A66" s="212">
        <v>46207.0</v>
      </c>
      <c r="B66" s="213">
        <v>46177.0</v>
      </c>
      <c r="C66" s="203" t="s">
        <v>712</v>
      </c>
      <c r="D66" s="203" t="s">
        <v>713</v>
      </c>
      <c r="E66" s="216" t="s">
        <v>634</v>
      </c>
      <c r="F66" s="64">
        <v>6.2604798E8</v>
      </c>
      <c r="H66" s="216">
        <v>1242.0</v>
      </c>
      <c r="I66" s="74" t="s">
        <v>714</v>
      </c>
      <c r="J66" s="216" t="s">
        <v>141</v>
      </c>
      <c r="K66" s="204">
        <v>8.882065568E9</v>
      </c>
      <c r="L66" s="223">
        <v>3000.0</v>
      </c>
      <c r="O66" s="186"/>
      <c r="P66" s="186"/>
      <c r="Q66" s="223">
        <v>350.0</v>
      </c>
      <c r="R66" s="223" t="s">
        <v>671</v>
      </c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2"/>
      <c r="AZ66" s="2"/>
      <c r="BA66" s="2"/>
      <c r="BB66" s="2"/>
      <c r="BC66" s="2"/>
      <c r="BD66" s="2"/>
    </row>
    <row r="67">
      <c r="A67" s="207">
        <v>46207.0</v>
      </c>
      <c r="B67" s="153">
        <v>46298.0</v>
      </c>
      <c r="C67" s="154" t="s">
        <v>715</v>
      </c>
      <c r="D67" s="154" t="s">
        <v>716</v>
      </c>
      <c r="E67" s="154" t="s">
        <v>634</v>
      </c>
      <c r="F67" s="19">
        <v>6.26037977E8</v>
      </c>
      <c r="G67" s="175"/>
      <c r="H67" s="202">
        <v>6637.0</v>
      </c>
      <c r="I67" s="20" t="s">
        <v>55</v>
      </c>
      <c r="J67" s="152" t="s">
        <v>56</v>
      </c>
      <c r="K67" s="153">
        <v>9.718858411E9</v>
      </c>
      <c r="L67" s="183">
        <v>12000.0</v>
      </c>
      <c r="M67" s="175"/>
      <c r="N67" s="175"/>
      <c r="O67" s="175"/>
      <c r="P67" s="175"/>
      <c r="Q67" s="154">
        <v>2000.0</v>
      </c>
      <c r="R67" s="154" t="s">
        <v>671</v>
      </c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2"/>
      <c r="AZ67" s="2"/>
      <c r="BA67" s="2"/>
      <c r="BB67" s="2"/>
      <c r="BC67" s="2"/>
      <c r="BD67" s="2"/>
    </row>
    <row r="68">
      <c r="A68" s="212">
        <v>46207.0</v>
      </c>
      <c r="B68" s="213">
        <v>46177.0</v>
      </c>
      <c r="C68" s="203" t="s">
        <v>717</v>
      </c>
      <c r="D68" s="203" t="s">
        <v>718</v>
      </c>
      <c r="E68" s="216" t="s">
        <v>634</v>
      </c>
      <c r="F68" s="64">
        <v>6.26047979E8</v>
      </c>
      <c r="H68" s="216">
        <v>6638.0</v>
      </c>
      <c r="I68" s="52" t="s">
        <v>124</v>
      </c>
      <c r="J68" s="185" t="s">
        <v>56</v>
      </c>
      <c r="K68" s="204">
        <v>7.290982776E9</v>
      </c>
      <c r="L68" s="223">
        <v>3444.0</v>
      </c>
      <c r="O68" s="186"/>
      <c r="P68" s="186"/>
      <c r="Q68" s="223">
        <v>312.0</v>
      </c>
      <c r="R68" s="223" t="s">
        <v>671</v>
      </c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  <c r="AY68" s="2"/>
      <c r="AZ68" s="2"/>
      <c r="BA68" s="2"/>
      <c r="BB68" s="2"/>
      <c r="BC68" s="2"/>
      <c r="BD68" s="2"/>
    </row>
    <row r="69">
      <c r="A69" s="207">
        <v>46207.0</v>
      </c>
      <c r="B69" s="208">
        <v>46177.0</v>
      </c>
      <c r="C69" s="209" t="s">
        <v>719</v>
      </c>
      <c r="D69" s="209" t="s">
        <v>720</v>
      </c>
      <c r="E69" s="220" t="s">
        <v>135</v>
      </c>
      <c r="F69" s="64">
        <v>6.26047975E8</v>
      </c>
      <c r="H69" s="220">
        <v>260037.0</v>
      </c>
      <c r="I69" s="74" t="s">
        <v>721</v>
      </c>
      <c r="J69" s="220" t="s">
        <v>41</v>
      </c>
      <c r="K69" s="202">
        <v>8.708768059E9</v>
      </c>
      <c r="L69" s="219">
        <v>9026.4</v>
      </c>
      <c r="O69" s="175"/>
      <c r="P69" s="175"/>
      <c r="Q69" s="219">
        <v>1523.0</v>
      </c>
      <c r="R69" s="219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2"/>
      <c r="AZ69" s="2"/>
      <c r="BA69" s="2"/>
      <c r="BB69" s="2"/>
      <c r="BC69" s="2"/>
      <c r="BD69" s="2"/>
    </row>
    <row r="70">
      <c r="A70" s="212"/>
      <c r="B70" s="213"/>
      <c r="C70" s="203"/>
      <c r="D70" s="216"/>
      <c r="E70" s="185"/>
      <c r="F70" s="203"/>
      <c r="H70" s="216"/>
      <c r="I70" s="186"/>
      <c r="K70" s="185"/>
      <c r="L70" s="214"/>
      <c r="O70" s="186"/>
      <c r="P70" s="186"/>
      <c r="Q70" s="203"/>
      <c r="R70" s="203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2"/>
      <c r="AZ70" s="2"/>
      <c r="BA70" s="2"/>
      <c r="BB70" s="2"/>
      <c r="BC70" s="2"/>
      <c r="BD70" s="2"/>
    </row>
    <row r="71">
      <c r="A71" s="207"/>
      <c r="B71" s="208"/>
      <c r="C71" s="209"/>
      <c r="D71" s="220"/>
      <c r="E71" s="154"/>
      <c r="F71" s="209"/>
      <c r="H71" s="220"/>
      <c r="I71" s="175"/>
      <c r="K71" s="154"/>
      <c r="L71" s="224">
        <f>SUM(L64:L70)</f>
        <v>33470.4</v>
      </c>
      <c r="O71" s="175"/>
      <c r="P71" s="175"/>
      <c r="Q71" s="209"/>
      <c r="R71" s="209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2"/>
      <c r="AZ71" s="2"/>
      <c r="BA71" s="2"/>
      <c r="BB71" s="2"/>
      <c r="BC71" s="2"/>
      <c r="BD71" s="2"/>
    </row>
    <row r="72">
      <c r="A72" s="206">
        <v>46238.0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9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2"/>
      <c r="AZ72" s="2"/>
      <c r="BA72" s="2"/>
      <c r="BB72" s="2"/>
      <c r="BC72" s="2"/>
      <c r="BD72" s="2"/>
    </row>
    <row r="73" ht="42.0" customHeight="1">
      <c r="A73" s="195" t="s">
        <v>0</v>
      </c>
      <c r="B73" s="195" t="s">
        <v>1</v>
      </c>
      <c r="C73" s="196" t="s">
        <v>2</v>
      </c>
      <c r="D73" s="196" t="s">
        <v>3</v>
      </c>
      <c r="E73" s="196" t="s">
        <v>4</v>
      </c>
      <c r="F73" s="196" t="s">
        <v>642</v>
      </c>
      <c r="G73" s="196" t="s">
        <v>643</v>
      </c>
      <c r="H73" s="196" t="s">
        <v>7</v>
      </c>
      <c r="I73" s="196" t="s">
        <v>8</v>
      </c>
      <c r="J73" s="196" t="s">
        <v>9</v>
      </c>
      <c r="K73" s="197" t="s">
        <v>10</v>
      </c>
      <c r="L73" s="197" t="s">
        <v>644</v>
      </c>
      <c r="M73" s="198" t="s">
        <v>645</v>
      </c>
      <c r="N73" s="196" t="s">
        <v>13</v>
      </c>
      <c r="O73" s="199" t="s">
        <v>14</v>
      </c>
      <c r="P73" s="200" t="s">
        <v>646</v>
      </c>
      <c r="Q73" s="197" t="s">
        <v>647</v>
      </c>
      <c r="R73" s="196" t="s">
        <v>16</v>
      </c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AV73" s="201"/>
      <c r="AW73" s="201"/>
      <c r="AX73" s="201"/>
      <c r="AY73" s="201"/>
      <c r="AZ73" s="201"/>
      <c r="BA73" s="201"/>
      <c r="BB73" s="201"/>
      <c r="BC73" s="201"/>
      <c r="BD73" s="201"/>
    </row>
    <row r="74">
      <c r="A74" s="212">
        <v>46238.0</v>
      </c>
      <c r="B74" s="213">
        <v>46177.0</v>
      </c>
      <c r="C74" s="203" t="s">
        <v>722</v>
      </c>
      <c r="D74" s="203" t="s">
        <v>723</v>
      </c>
      <c r="E74" s="216" t="s">
        <v>634</v>
      </c>
      <c r="F74" s="64">
        <v>6.26047982E8</v>
      </c>
      <c r="H74" s="216">
        <v>6639.0</v>
      </c>
      <c r="I74" s="20" t="s">
        <v>114</v>
      </c>
      <c r="J74" s="185" t="s">
        <v>56</v>
      </c>
      <c r="K74" s="185">
        <v>9.956958533E9</v>
      </c>
      <c r="L74" s="223">
        <v>3522.0</v>
      </c>
      <c r="O74" s="186"/>
      <c r="P74" s="186"/>
      <c r="Q74" s="223">
        <v>294.0</v>
      </c>
      <c r="R74" s="223" t="s">
        <v>671</v>
      </c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2"/>
      <c r="AZ74" s="2"/>
      <c r="BA74" s="2"/>
      <c r="BB74" s="2"/>
      <c r="BC74" s="2"/>
      <c r="BD74" s="2"/>
    </row>
    <row r="75">
      <c r="A75" s="207">
        <v>46238.0</v>
      </c>
      <c r="B75" s="208">
        <v>46207.0</v>
      </c>
      <c r="C75" s="209" t="s">
        <v>724</v>
      </c>
      <c r="D75" s="220" t="s">
        <v>725</v>
      </c>
      <c r="E75" s="154" t="s">
        <v>634</v>
      </c>
      <c r="F75" s="64">
        <v>6.26047996E8</v>
      </c>
      <c r="H75" s="220">
        <v>6640.0</v>
      </c>
      <c r="I75" s="20" t="s">
        <v>127</v>
      </c>
      <c r="J75" s="154" t="s">
        <v>56</v>
      </c>
      <c r="K75" s="154">
        <v>8.826871385E9</v>
      </c>
      <c r="L75" s="210">
        <v>3900.0</v>
      </c>
      <c r="M75" s="154"/>
      <c r="N75" s="154"/>
      <c r="O75" s="154"/>
      <c r="P75" s="154"/>
      <c r="Q75" s="209">
        <v>500.0</v>
      </c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76"/>
      <c r="AZ75" s="76"/>
      <c r="BA75" s="76"/>
      <c r="BB75" s="76"/>
      <c r="BC75" s="76"/>
      <c r="BD75" s="76"/>
    </row>
    <row r="76">
      <c r="A76" s="212">
        <v>46238.0</v>
      </c>
      <c r="B76" s="213">
        <v>46207.0</v>
      </c>
      <c r="C76" s="203" t="s">
        <v>726</v>
      </c>
      <c r="D76" s="203" t="s">
        <v>727</v>
      </c>
      <c r="E76" s="185" t="s">
        <v>634</v>
      </c>
      <c r="F76" s="64">
        <v>6.26047997E8</v>
      </c>
      <c r="H76" s="216">
        <v>6641.0</v>
      </c>
      <c r="I76" s="47" t="s">
        <v>360</v>
      </c>
      <c r="J76" s="185" t="s">
        <v>56</v>
      </c>
      <c r="K76" s="204">
        <v>7.355962044E9</v>
      </c>
      <c r="L76" s="214">
        <v>3120.0</v>
      </c>
      <c r="M76" s="185"/>
      <c r="N76" s="185"/>
      <c r="O76" s="185"/>
      <c r="P76" s="185"/>
      <c r="Q76" s="203">
        <v>320.0</v>
      </c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76"/>
      <c r="AZ76" s="76"/>
      <c r="BA76" s="76"/>
      <c r="BB76" s="76"/>
      <c r="BC76" s="76"/>
      <c r="BD76" s="76"/>
    </row>
    <row r="77">
      <c r="A77" s="207">
        <v>46238.0</v>
      </c>
      <c r="B77" s="154" t="s">
        <v>728</v>
      </c>
      <c r="C77" s="154" t="s">
        <v>729</v>
      </c>
      <c r="D77" s="154" t="s">
        <v>730</v>
      </c>
      <c r="E77" s="154" t="s">
        <v>634</v>
      </c>
      <c r="F77" s="19">
        <v>6.26038139E8</v>
      </c>
      <c r="G77" s="175"/>
      <c r="H77" s="202">
        <v>6642.0</v>
      </c>
      <c r="I77" s="52" t="s">
        <v>124</v>
      </c>
      <c r="J77" s="154" t="s">
        <v>56</v>
      </c>
      <c r="K77" s="202">
        <v>7.290982776E9</v>
      </c>
      <c r="L77" s="183">
        <v>3000.0</v>
      </c>
      <c r="M77" s="175"/>
      <c r="N77" s="175"/>
      <c r="O77" s="175"/>
      <c r="P77" s="175"/>
      <c r="Q77" s="154">
        <v>500.0</v>
      </c>
      <c r="R77" s="154" t="s">
        <v>731</v>
      </c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2"/>
      <c r="AZ77" s="2"/>
      <c r="BA77" s="2"/>
      <c r="BB77" s="2"/>
      <c r="BC77" s="2"/>
      <c r="BD77" s="2"/>
    </row>
    <row r="78">
      <c r="A78" s="212">
        <v>46238.0</v>
      </c>
      <c r="B78" s="213">
        <v>46207.0</v>
      </c>
      <c r="C78" s="203" t="s">
        <v>732</v>
      </c>
      <c r="D78" s="203" t="s">
        <v>733</v>
      </c>
      <c r="E78" s="185" t="s">
        <v>634</v>
      </c>
      <c r="F78" s="203">
        <v>6.26047983E8</v>
      </c>
      <c r="H78" s="216" t="s">
        <v>29</v>
      </c>
      <c r="I78" s="74" t="s">
        <v>734</v>
      </c>
      <c r="J78" s="216" t="s">
        <v>263</v>
      </c>
      <c r="K78" s="204">
        <v>7.015011649E9</v>
      </c>
      <c r="L78" s="214">
        <v>144.0</v>
      </c>
      <c r="M78" s="185"/>
      <c r="N78" s="185"/>
      <c r="O78" s="185"/>
      <c r="P78" s="185"/>
      <c r="Q78" s="203">
        <v>60.0</v>
      </c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76"/>
      <c r="AZ78" s="76"/>
      <c r="BA78" s="76"/>
      <c r="BB78" s="76"/>
      <c r="BC78" s="76"/>
      <c r="BD78" s="76"/>
    </row>
    <row r="79">
      <c r="A79" s="207">
        <v>46238.0</v>
      </c>
      <c r="B79" s="208">
        <v>46177.0</v>
      </c>
      <c r="C79" s="209" t="s">
        <v>735</v>
      </c>
      <c r="D79" s="209" t="s">
        <v>736</v>
      </c>
      <c r="E79" s="220" t="s">
        <v>634</v>
      </c>
      <c r="F79" s="64">
        <v>6.26047981E8</v>
      </c>
      <c r="H79" s="220">
        <v>1243.0</v>
      </c>
      <c r="I79" s="74" t="s">
        <v>665</v>
      </c>
      <c r="J79" s="220" t="s">
        <v>141</v>
      </c>
      <c r="K79" s="220">
        <v>8.506009561E9</v>
      </c>
      <c r="L79" s="219">
        <v>3000.0</v>
      </c>
      <c r="O79" s="175"/>
      <c r="P79" s="175"/>
      <c r="Q79" s="219">
        <v>275.0</v>
      </c>
      <c r="R79" s="219" t="s">
        <v>671</v>
      </c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2"/>
      <c r="AZ79" s="2"/>
      <c r="BA79" s="2"/>
      <c r="BB79" s="2"/>
      <c r="BC79" s="2"/>
      <c r="BD79" s="2"/>
    </row>
    <row r="80">
      <c r="A80" s="212">
        <v>46238.0</v>
      </c>
      <c r="B80" s="213">
        <v>46207.0</v>
      </c>
      <c r="C80" s="203" t="s">
        <v>281</v>
      </c>
      <c r="D80" s="203" t="s">
        <v>282</v>
      </c>
      <c r="E80" s="204" t="s">
        <v>737</v>
      </c>
      <c r="F80" s="80">
        <v>6.26047991E8</v>
      </c>
      <c r="H80" s="216">
        <v>12067.0</v>
      </c>
      <c r="I80" s="74" t="s">
        <v>195</v>
      </c>
      <c r="J80" s="204" t="s">
        <v>51</v>
      </c>
      <c r="K80" s="216">
        <v>9.518405919E9</v>
      </c>
      <c r="L80" s="225">
        <v>43.2</v>
      </c>
      <c r="O80" s="186"/>
      <c r="P80" s="186"/>
      <c r="Q80" s="203"/>
      <c r="R80" s="203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2"/>
      <c r="AZ80" s="2"/>
      <c r="BA80" s="2"/>
      <c r="BB80" s="2"/>
      <c r="BC80" s="2"/>
      <c r="BD80" s="2"/>
    </row>
    <row r="81">
      <c r="A81" s="207"/>
      <c r="B81" s="208"/>
      <c r="C81" s="209"/>
      <c r="D81" s="209"/>
      <c r="E81" s="220"/>
      <c r="F81" s="209"/>
      <c r="I81" s="175"/>
      <c r="J81" s="211"/>
      <c r="K81" s="154"/>
      <c r="L81" s="209"/>
      <c r="O81" s="175"/>
      <c r="P81" s="175"/>
      <c r="Q81" s="209"/>
      <c r="R81" s="209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2"/>
      <c r="AZ81" s="2"/>
      <c r="BA81" s="2"/>
      <c r="BB81" s="2"/>
      <c r="BC81" s="2"/>
      <c r="BD81" s="2"/>
    </row>
    <row r="82">
      <c r="A82" s="212"/>
      <c r="B82" s="213"/>
      <c r="C82" s="203"/>
      <c r="D82" s="203"/>
      <c r="E82" s="216"/>
      <c r="F82" s="203"/>
      <c r="I82" s="186"/>
      <c r="J82" s="215"/>
      <c r="K82" s="185"/>
      <c r="L82" s="226">
        <f>SUM(L74:L81)</f>
        <v>16729.2</v>
      </c>
      <c r="O82" s="186"/>
      <c r="P82" s="186"/>
      <c r="Q82" s="203"/>
      <c r="R82" s="203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2"/>
      <c r="AZ82" s="2"/>
      <c r="BA82" s="2"/>
      <c r="BB82" s="2"/>
      <c r="BC82" s="2"/>
      <c r="BD82" s="2"/>
    </row>
    <row r="83">
      <c r="A83" s="206">
        <v>46269.0</v>
      </c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6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2"/>
      <c r="AZ83" s="2"/>
      <c r="BA83" s="2"/>
      <c r="BB83" s="2"/>
      <c r="BC83" s="2"/>
      <c r="BD83" s="2"/>
    </row>
    <row r="84" ht="42.0" customHeight="1">
      <c r="A84" s="195" t="s">
        <v>0</v>
      </c>
      <c r="B84" s="195" t="s">
        <v>1</v>
      </c>
      <c r="C84" s="196" t="s">
        <v>2</v>
      </c>
      <c r="D84" s="196" t="s">
        <v>3</v>
      </c>
      <c r="E84" s="196" t="s">
        <v>4</v>
      </c>
      <c r="F84" s="196" t="s">
        <v>642</v>
      </c>
      <c r="G84" s="196" t="s">
        <v>643</v>
      </c>
      <c r="H84" s="196" t="s">
        <v>7</v>
      </c>
      <c r="I84" s="196" t="s">
        <v>8</v>
      </c>
      <c r="J84" s="196" t="s">
        <v>9</v>
      </c>
      <c r="K84" s="197" t="s">
        <v>10</v>
      </c>
      <c r="L84" s="197" t="s">
        <v>644</v>
      </c>
      <c r="M84" s="198" t="s">
        <v>645</v>
      </c>
      <c r="N84" s="196" t="s">
        <v>13</v>
      </c>
      <c r="O84" s="199" t="s">
        <v>14</v>
      </c>
      <c r="P84" s="200" t="s">
        <v>646</v>
      </c>
      <c r="Q84" s="197" t="s">
        <v>647</v>
      </c>
      <c r="R84" s="196" t="s">
        <v>16</v>
      </c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  <c r="BA84" s="201"/>
      <c r="BB84" s="201"/>
      <c r="BC84" s="201"/>
      <c r="BD84" s="201"/>
    </row>
    <row r="85">
      <c r="A85" s="207">
        <v>46269.0</v>
      </c>
      <c r="B85" s="207">
        <v>46238.0</v>
      </c>
      <c r="C85" s="210" t="s">
        <v>685</v>
      </c>
      <c r="D85" s="210" t="s">
        <v>686</v>
      </c>
      <c r="E85" s="154" t="s">
        <v>634</v>
      </c>
      <c r="F85" s="149">
        <v>6.26047998E8</v>
      </c>
      <c r="G85" s="211"/>
      <c r="H85" s="227">
        <v>6647.0</v>
      </c>
      <c r="I85" s="20" t="s">
        <v>114</v>
      </c>
      <c r="J85" s="154" t="s">
        <v>56</v>
      </c>
      <c r="K85" s="154">
        <v>9.956958533E9</v>
      </c>
      <c r="L85" s="210">
        <v>3000.0</v>
      </c>
      <c r="M85" s="154"/>
      <c r="N85" s="154"/>
      <c r="O85" s="154"/>
      <c r="P85" s="154"/>
      <c r="Q85" s="210">
        <v>500.0</v>
      </c>
      <c r="R85" s="210" t="s">
        <v>738</v>
      </c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76"/>
      <c r="AZ85" s="76"/>
      <c r="BA85" s="76"/>
      <c r="BB85" s="76"/>
      <c r="BC85" s="76"/>
      <c r="BD85" s="76"/>
    </row>
    <row r="86">
      <c r="A86" s="212">
        <v>46269.0</v>
      </c>
      <c r="B86" s="212">
        <v>46238.0</v>
      </c>
      <c r="C86" s="214" t="s">
        <v>685</v>
      </c>
      <c r="D86" s="214" t="s">
        <v>686</v>
      </c>
      <c r="E86" s="185" t="s">
        <v>634</v>
      </c>
      <c r="F86" s="228">
        <v>6.26047999E8</v>
      </c>
      <c r="G86" s="215"/>
      <c r="H86" s="225">
        <v>6647.0</v>
      </c>
      <c r="I86" s="20" t="s">
        <v>114</v>
      </c>
      <c r="J86" s="185" t="s">
        <v>56</v>
      </c>
      <c r="K86" s="185">
        <v>9.956958533E9</v>
      </c>
      <c r="L86" s="214">
        <v>1500.0</v>
      </c>
      <c r="M86" s="185"/>
      <c r="N86" s="185"/>
      <c r="O86" s="185"/>
      <c r="P86" s="185"/>
      <c r="Q86" s="214">
        <v>250.0</v>
      </c>
      <c r="R86" s="214" t="s">
        <v>738</v>
      </c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76"/>
      <c r="AZ86" s="76"/>
      <c r="BA86" s="76"/>
      <c r="BB86" s="76"/>
      <c r="BC86" s="76"/>
      <c r="BD86" s="76"/>
    </row>
    <row r="87">
      <c r="A87" s="207">
        <v>46269.0</v>
      </c>
      <c r="B87" s="207">
        <v>46238.0</v>
      </c>
      <c r="C87" s="210" t="s">
        <v>696</v>
      </c>
      <c r="D87" s="210" t="s">
        <v>739</v>
      </c>
      <c r="E87" s="154" t="s">
        <v>634</v>
      </c>
      <c r="F87" s="149">
        <v>6.26048003E8</v>
      </c>
      <c r="G87" s="211"/>
      <c r="H87" s="227">
        <v>6646.0</v>
      </c>
      <c r="I87" s="20" t="s">
        <v>127</v>
      </c>
      <c r="J87" s="154" t="s">
        <v>56</v>
      </c>
      <c r="K87" s="154">
        <v>8.826871385E9</v>
      </c>
      <c r="L87" s="210">
        <v>5100.0</v>
      </c>
      <c r="M87" s="154"/>
      <c r="N87" s="154"/>
      <c r="O87" s="154"/>
      <c r="P87" s="154"/>
      <c r="Q87" s="210">
        <v>550.0</v>
      </c>
      <c r="R87" s="210" t="s">
        <v>671</v>
      </c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76"/>
      <c r="AZ87" s="76"/>
      <c r="BA87" s="76"/>
      <c r="BB87" s="76"/>
      <c r="BC87" s="76"/>
      <c r="BD87" s="76"/>
    </row>
    <row r="88">
      <c r="A88" s="212">
        <v>46269.0</v>
      </c>
      <c r="B88" s="212">
        <v>46238.0</v>
      </c>
      <c r="C88" s="214" t="s">
        <v>740</v>
      </c>
      <c r="D88" s="225" t="s">
        <v>741</v>
      </c>
      <c r="E88" s="204" t="s">
        <v>634</v>
      </c>
      <c r="F88" s="149">
        <v>6.26048005E8</v>
      </c>
      <c r="G88" s="215"/>
      <c r="H88" s="225">
        <v>6650.0</v>
      </c>
      <c r="I88" s="47" t="s">
        <v>360</v>
      </c>
      <c r="J88" s="185" t="s">
        <v>56</v>
      </c>
      <c r="K88" s="204">
        <v>7.355962044E9</v>
      </c>
      <c r="L88" s="214">
        <v>3000.0</v>
      </c>
      <c r="M88" s="186"/>
      <c r="N88" s="186"/>
      <c r="O88" s="186"/>
      <c r="P88" s="186"/>
      <c r="Q88" s="214">
        <v>500.0</v>
      </c>
      <c r="R88" s="214" t="s">
        <v>671</v>
      </c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2"/>
      <c r="AZ88" s="2"/>
      <c r="BA88" s="2"/>
      <c r="BB88" s="2"/>
      <c r="BC88" s="2"/>
      <c r="BD88" s="2"/>
    </row>
    <row r="89">
      <c r="A89" s="207">
        <v>46269.0</v>
      </c>
      <c r="B89" s="207">
        <v>46238.0</v>
      </c>
      <c r="C89" s="210" t="s">
        <v>742</v>
      </c>
      <c r="D89" s="210" t="s">
        <v>743</v>
      </c>
      <c r="E89" s="154" t="s">
        <v>634</v>
      </c>
      <c r="F89" s="149">
        <v>6.26048006E8</v>
      </c>
      <c r="G89" s="211"/>
      <c r="H89" s="227">
        <v>1245.0</v>
      </c>
      <c r="I89" s="20" t="s">
        <v>511</v>
      </c>
      <c r="J89" s="154" t="s">
        <v>141</v>
      </c>
      <c r="K89" s="154">
        <v>8.285997574E9</v>
      </c>
      <c r="L89" s="210">
        <v>2940.0</v>
      </c>
      <c r="M89" s="175"/>
      <c r="N89" s="175"/>
      <c r="O89" s="175"/>
      <c r="P89" s="175"/>
      <c r="Q89" s="210">
        <v>420.0</v>
      </c>
      <c r="R89" s="210" t="s">
        <v>671</v>
      </c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</row>
    <row r="90">
      <c r="A90" s="212">
        <v>46269.0</v>
      </c>
      <c r="B90" s="212">
        <v>46238.0</v>
      </c>
      <c r="C90" s="216" t="s">
        <v>698</v>
      </c>
      <c r="D90" s="216" t="s">
        <v>744</v>
      </c>
      <c r="E90" s="216" t="s">
        <v>634</v>
      </c>
      <c r="F90" s="100">
        <v>6.26048007E8</v>
      </c>
      <c r="G90" s="215"/>
      <c r="H90" s="225">
        <v>1244.0</v>
      </c>
      <c r="I90" s="20" t="s">
        <v>511</v>
      </c>
      <c r="J90" s="185" t="s">
        <v>141</v>
      </c>
      <c r="K90" s="185">
        <v>8.285997574E9</v>
      </c>
      <c r="L90" s="225">
        <v>3000.0</v>
      </c>
      <c r="O90" s="186"/>
      <c r="P90" s="186"/>
      <c r="Q90" s="216">
        <v>250.0</v>
      </c>
      <c r="R90" s="216" t="s">
        <v>671</v>
      </c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2"/>
      <c r="AZ90" s="2"/>
      <c r="BA90" s="2"/>
      <c r="BB90" s="2"/>
      <c r="BC90" s="2"/>
      <c r="BD90" s="2"/>
    </row>
    <row r="91">
      <c r="A91" s="207">
        <v>46269.0</v>
      </c>
      <c r="B91" s="207">
        <v>46238.0</v>
      </c>
      <c r="C91" s="227" t="s">
        <v>745</v>
      </c>
      <c r="D91" s="227" t="s">
        <v>746</v>
      </c>
      <c r="E91" s="154" t="s">
        <v>634</v>
      </c>
      <c r="F91" s="229">
        <v>6.26048009E8</v>
      </c>
      <c r="G91" s="220"/>
      <c r="H91" s="227">
        <v>6645.0</v>
      </c>
      <c r="I91" s="52" t="s">
        <v>124</v>
      </c>
      <c r="J91" s="154" t="s">
        <v>56</v>
      </c>
      <c r="K91" s="202">
        <v>7.290982776E9</v>
      </c>
      <c r="L91" s="210">
        <v>3000.0</v>
      </c>
      <c r="M91" s="154"/>
      <c r="N91" s="154"/>
      <c r="O91" s="154"/>
      <c r="P91" s="154"/>
      <c r="Q91" s="210">
        <v>500.0</v>
      </c>
      <c r="R91" s="210" t="s">
        <v>671</v>
      </c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76"/>
      <c r="AZ91" s="76"/>
      <c r="BA91" s="76"/>
      <c r="BB91" s="76"/>
      <c r="BC91" s="76"/>
      <c r="BD91" s="76"/>
    </row>
    <row r="92">
      <c r="A92" s="212">
        <v>46269.0</v>
      </c>
      <c r="B92" s="213">
        <v>46207.0</v>
      </c>
      <c r="C92" s="203" t="s">
        <v>281</v>
      </c>
      <c r="D92" s="203" t="s">
        <v>289</v>
      </c>
      <c r="E92" s="216" t="s">
        <v>290</v>
      </c>
      <c r="F92" s="98">
        <v>6.26047984E8</v>
      </c>
      <c r="G92" s="215"/>
      <c r="H92" s="225">
        <v>1342.0</v>
      </c>
      <c r="I92" s="74" t="s">
        <v>292</v>
      </c>
      <c r="J92" s="204" t="s">
        <v>85</v>
      </c>
      <c r="K92" s="204">
        <v>7.006317921E9</v>
      </c>
      <c r="L92" s="230">
        <v>60.0</v>
      </c>
      <c r="O92" s="186"/>
      <c r="P92" s="186"/>
      <c r="Q92" s="203"/>
      <c r="R92" s="203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2"/>
      <c r="AZ92" s="2"/>
      <c r="BA92" s="2"/>
      <c r="BB92" s="2"/>
      <c r="BC92" s="2"/>
      <c r="BD92" s="2"/>
    </row>
    <row r="93">
      <c r="A93" s="207">
        <v>46269.0</v>
      </c>
      <c r="B93" s="208">
        <v>46207.0</v>
      </c>
      <c r="C93" s="209" t="s">
        <v>281</v>
      </c>
      <c r="D93" s="209" t="s">
        <v>311</v>
      </c>
      <c r="E93" s="220" t="s">
        <v>172</v>
      </c>
      <c r="F93" s="98">
        <v>6.26047985E8</v>
      </c>
      <c r="G93" s="211"/>
      <c r="H93" s="227">
        <v>1402.0</v>
      </c>
      <c r="I93" s="74" t="s">
        <v>292</v>
      </c>
      <c r="J93" s="202" t="s">
        <v>85</v>
      </c>
      <c r="K93" s="202">
        <v>7.006317921E9</v>
      </c>
      <c r="L93" s="231">
        <v>10.8</v>
      </c>
      <c r="O93" s="175"/>
      <c r="P93" s="175"/>
      <c r="Q93" s="209"/>
      <c r="R93" s="209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2"/>
      <c r="AZ93" s="2"/>
      <c r="BA93" s="2"/>
      <c r="BB93" s="2"/>
      <c r="BC93" s="2"/>
      <c r="BD93" s="2"/>
    </row>
    <row r="94">
      <c r="A94" s="212">
        <v>46269.0</v>
      </c>
      <c r="B94" s="213">
        <v>46207.0</v>
      </c>
      <c r="C94" s="203" t="s">
        <v>281</v>
      </c>
      <c r="D94" s="203" t="s">
        <v>295</v>
      </c>
      <c r="E94" s="216" t="s">
        <v>88</v>
      </c>
      <c r="F94" s="98">
        <v>6.26047986E8</v>
      </c>
      <c r="G94" s="215"/>
      <c r="H94" s="225">
        <v>1343.0</v>
      </c>
      <c r="I94" s="74" t="s">
        <v>292</v>
      </c>
      <c r="J94" s="204" t="s">
        <v>85</v>
      </c>
      <c r="K94" s="204">
        <v>7.006317921E9</v>
      </c>
      <c r="L94" s="230">
        <v>54.8</v>
      </c>
      <c r="O94" s="186"/>
      <c r="P94" s="186"/>
      <c r="Q94" s="203"/>
      <c r="R94" s="203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2"/>
      <c r="AZ94" s="2"/>
      <c r="BA94" s="2"/>
      <c r="BB94" s="2"/>
      <c r="BC94" s="2"/>
      <c r="BD94" s="2"/>
    </row>
    <row r="95">
      <c r="A95" s="207">
        <v>46269.0</v>
      </c>
      <c r="B95" s="208">
        <v>46207.0</v>
      </c>
      <c r="C95" s="209" t="s">
        <v>281</v>
      </c>
      <c r="D95" s="209" t="s">
        <v>303</v>
      </c>
      <c r="E95" s="202" t="s">
        <v>737</v>
      </c>
      <c r="F95" s="98">
        <v>6.26047987E8</v>
      </c>
      <c r="G95" s="211"/>
      <c r="H95" s="227">
        <v>1340.0</v>
      </c>
      <c r="I95" s="74" t="s">
        <v>292</v>
      </c>
      <c r="J95" s="202" t="s">
        <v>85</v>
      </c>
      <c r="K95" s="202">
        <v>7.006317921E9</v>
      </c>
      <c r="L95" s="231">
        <v>75.8</v>
      </c>
      <c r="O95" s="175"/>
      <c r="P95" s="175"/>
      <c r="Q95" s="209"/>
      <c r="R95" s="209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2"/>
      <c r="AZ95" s="2"/>
      <c r="BA95" s="2"/>
      <c r="BB95" s="2"/>
      <c r="BC95" s="2"/>
      <c r="BD95" s="2"/>
    </row>
    <row r="96">
      <c r="A96" s="212">
        <v>46269.0</v>
      </c>
      <c r="B96" s="213">
        <v>46207.0</v>
      </c>
      <c r="C96" s="203" t="s">
        <v>281</v>
      </c>
      <c r="D96" s="203" t="s">
        <v>307</v>
      </c>
      <c r="E96" s="216" t="s">
        <v>308</v>
      </c>
      <c r="F96" s="98">
        <v>6.26047988E8</v>
      </c>
      <c r="G96" s="215"/>
      <c r="H96" s="225">
        <v>1404.0</v>
      </c>
      <c r="I96" s="74" t="s">
        <v>292</v>
      </c>
      <c r="J96" s="204" t="s">
        <v>85</v>
      </c>
      <c r="K96" s="204">
        <v>7.006317921E9</v>
      </c>
      <c r="L96" s="230">
        <v>15.0</v>
      </c>
      <c r="O96" s="186"/>
      <c r="P96" s="186"/>
      <c r="Q96" s="203"/>
      <c r="R96" s="203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2"/>
      <c r="AZ96" s="2"/>
      <c r="BA96" s="2"/>
      <c r="BB96" s="2"/>
      <c r="BC96" s="2"/>
      <c r="BD96" s="2"/>
    </row>
    <row r="97">
      <c r="A97" s="207">
        <v>46269.0</v>
      </c>
      <c r="B97" s="208">
        <v>46207.0</v>
      </c>
      <c r="C97" s="209" t="s">
        <v>281</v>
      </c>
      <c r="D97" s="209" t="s">
        <v>304</v>
      </c>
      <c r="E97" s="220" t="s">
        <v>135</v>
      </c>
      <c r="F97" s="98">
        <v>6.2604799E8</v>
      </c>
      <c r="G97" s="211"/>
      <c r="H97" s="227">
        <v>1403.0</v>
      </c>
      <c r="I97" s="74" t="s">
        <v>292</v>
      </c>
      <c r="J97" s="202" t="s">
        <v>85</v>
      </c>
      <c r="K97" s="202">
        <v>7.006317921E9</v>
      </c>
      <c r="L97" s="231">
        <v>31.6</v>
      </c>
      <c r="O97" s="175"/>
      <c r="P97" s="175"/>
      <c r="Q97" s="209"/>
      <c r="R97" s="209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2"/>
      <c r="AZ97" s="2"/>
      <c r="BA97" s="2"/>
      <c r="BB97" s="2"/>
      <c r="BC97" s="2"/>
      <c r="BD97" s="2"/>
    </row>
    <row r="98">
      <c r="A98" s="212">
        <v>46269.0</v>
      </c>
      <c r="B98" s="213">
        <v>46207.0</v>
      </c>
      <c r="C98" s="203" t="s">
        <v>281</v>
      </c>
      <c r="D98" s="203" t="s">
        <v>296</v>
      </c>
      <c r="E98" s="216" t="s">
        <v>297</v>
      </c>
      <c r="F98" s="98">
        <v>6.26047992E8</v>
      </c>
      <c r="G98" s="216" t="s">
        <v>747</v>
      </c>
      <c r="H98" s="225">
        <v>1345.0</v>
      </c>
      <c r="I98" s="74" t="s">
        <v>292</v>
      </c>
      <c r="J98" s="204" t="s">
        <v>85</v>
      </c>
      <c r="K98" s="204">
        <v>7.006317921E9</v>
      </c>
      <c r="L98" s="230">
        <v>31.6</v>
      </c>
      <c r="O98" s="186"/>
      <c r="P98" s="186"/>
      <c r="Q98" s="203"/>
      <c r="R98" s="203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2"/>
      <c r="AZ98" s="2"/>
      <c r="BA98" s="2"/>
      <c r="BB98" s="2"/>
      <c r="BC98" s="2"/>
      <c r="BD98" s="2"/>
    </row>
    <row r="99">
      <c r="A99" s="207">
        <v>46269.0</v>
      </c>
      <c r="B99" s="208">
        <v>46207.0</v>
      </c>
      <c r="C99" s="209" t="s">
        <v>281</v>
      </c>
      <c r="D99" s="209" t="s">
        <v>310</v>
      </c>
      <c r="E99" s="220" t="s">
        <v>172</v>
      </c>
      <c r="F99" s="98">
        <v>6.26047993E8</v>
      </c>
      <c r="G99" s="211"/>
      <c r="H99" s="227">
        <v>1346.0</v>
      </c>
      <c r="I99" s="74" t="s">
        <v>292</v>
      </c>
      <c r="J99" s="202" t="s">
        <v>85</v>
      </c>
      <c r="K99" s="202">
        <v>7.006317921E9</v>
      </c>
      <c r="L99" s="231">
        <v>10.8</v>
      </c>
      <c r="O99" s="175"/>
      <c r="P99" s="175"/>
      <c r="Q99" s="209"/>
      <c r="R99" s="209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2"/>
      <c r="AZ99" s="2"/>
      <c r="BA99" s="2"/>
      <c r="BB99" s="2"/>
      <c r="BC99" s="2"/>
      <c r="BD99" s="2"/>
    </row>
    <row r="100">
      <c r="A100" s="212">
        <v>46269.0</v>
      </c>
      <c r="B100" s="213">
        <v>46207.0</v>
      </c>
      <c r="C100" s="203" t="s">
        <v>281</v>
      </c>
      <c r="D100" s="203" t="s">
        <v>302</v>
      </c>
      <c r="E100" s="204" t="s">
        <v>737</v>
      </c>
      <c r="F100" s="98">
        <v>6.26047994E8</v>
      </c>
      <c r="G100" s="215"/>
      <c r="H100" s="225">
        <v>1341.0</v>
      </c>
      <c r="I100" s="74" t="s">
        <v>292</v>
      </c>
      <c r="J100" s="204" t="s">
        <v>85</v>
      </c>
      <c r="K100" s="204">
        <v>7.006317921E9</v>
      </c>
      <c r="L100" s="230">
        <v>65.8</v>
      </c>
      <c r="O100" s="186"/>
      <c r="P100" s="186"/>
      <c r="Q100" s="203"/>
      <c r="R100" s="203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2"/>
      <c r="AZ100" s="2"/>
      <c r="BA100" s="2"/>
      <c r="BB100" s="2"/>
      <c r="BC100" s="2"/>
      <c r="BD100" s="2"/>
    </row>
    <row r="101">
      <c r="A101" s="207">
        <v>46269.0</v>
      </c>
      <c r="B101" s="208">
        <v>46207.0</v>
      </c>
      <c r="C101" s="209" t="s">
        <v>281</v>
      </c>
      <c r="D101" s="209" t="s">
        <v>306</v>
      </c>
      <c r="E101" s="220" t="s">
        <v>198</v>
      </c>
      <c r="F101" s="98">
        <v>6.26047995E8</v>
      </c>
      <c r="G101" s="220" t="s">
        <v>747</v>
      </c>
      <c r="H101" s="227">
        <v>1344.0</v>
      </c>
      <c r="I101" s="74" t="s">
        <v>292</v>
      </c>
      <c r="J101" s="202" t="s">
        <v>85</v>
      </c>
      <c r="K101" s="202">
        <v>7.006317921E9</v>
      </c>
      <c r="L101" s="231">
        <v>166.2</v>
      </c>
      <c r="O101" s="175"/>
      <c r="P101" s="175"/>
      <c r="Q101" s="209"/>
      <c r="R101" s="209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2"/>
      <c r="AZ101" s="2"/>
      <c r="BA101" s="2"/>
      <c r="BB101" s="2"/>
      <c r="BC101" s="2"/>
      <c r="BD101" s="2"/>
    </row>
    <row r="102">
      <c r="A102" s="212"/>
      <c r="B102" s="213"/>
      <c r="C102" s="203"/>
      <c r="D102" s="216"/>
      <c r="E102" s="185"/>
      <c r="F102" s="203"/>
      <c r="H102" s="216"/>
      <c r="I102" s="186"/>
      <c r="J102" s="215"/>
      <c r="K102" s="185"/>
      <c r="L102" s="232"/>
      <c r="O102" s="186"/>
      <c r="P102" s="186"/>
      <c r="Q102" s="203"/>
      <c r="R102" s="203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2"/>
      <c r="AZ102" s="2"/>
      <c r="BA102" s="2"/>
      <c r="BB102" s="2"/>
      <c r="BC102" s="2"/>
      <c r="BD102" s="2"/>
    </row>
    <row r="103">
      <c r="A103" s="207"/>
      <c r="B103" s="208"/>
      <c r="C103" s="209"/>
      <c r="D103" s="220"/>
      <c r="E103" s="154"/>
      <c r="F103" s="209"/>
      <c r="H103" s="220"/>
      <c r="I103" s="175"/>
      <c r="J103" s="211"/>
      <c r="K103" s="154"/>
      <c r="L103" s="233">
        <f>SUM(L85:L102)</f>
        <v>22062.4</v>
      </c>
      <c r="O103" s="175"/>
      <c r="P103" s="175"/>
      <c r="Q103" s="209"/>
      <c r="R103" s="209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2"/>
      <c r="AZ103" s="2"/>
      <c r="BA103" s="2"/>
      <c r="BB103" s="2"/>
      <c r="BC103" s="2"/>
      <c r="BD103" s="2"/>
    </row>
    <row r="104">
      <c r="A104" s="206">
        <v>46299.0</v>
      </c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9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2"/>
      <c r="AZ104" s="2"/>
      <c r="BA104" s="2"/>
      <c r="BB104" s="2"/>
      <c r="BC104" s="2"/>
      <c r="BD104" s="2"/>
    </row>
    <row r="105" ht="42.0" customHeight="1">
      <c r="A105" s="195" t="s">
        <v>0</v>
      </c>
      <c r="B105" s="195" t="s">
        <v>1</v>
      </c>
      <c r="C105" s="196" t="s">
        <v>2</v>
      </c>
      <c r="D105" s="196" t="s">
        <v>3</v>
      </c>
      <c r="E105" s="196" t="s">
        <v>4</v>
      </c>
      <c r="F105" s="196" t="s">
        <v>642</v>
      </c>
      <c r="G105" s="196" t="s">
        <v>643</v>
      </c>
      <c r="H105" s="196" t="s">
        <v>7</v>
      </c>
      <c r="I105" s="196" t="s">
        <v>8</v>
      </c>
      <c r="J105" s="196" t="s">
        <v>9</v>
      </c>
      <c r="K105" s="197" t="s">
        <v>10</v>
      </c>
      <c r="L105" s="197" t="s">
        <v>644</v>
      </c>
      <c r="M105" s="198" t="s">
        <v>645</v>
      </c>
      <c r="N105" s="196" t="s">
        <v>13</v>
      </c>
      <c r="O105" s="199" t="s">
        <v>14</v>
      </c>
      <c r="P105" s="200" t="s">
        <v>646</v>
      </c>
      <c r="Q105" s="197" t="s">
        <v>647</v>
      </c>
      <c r="R105" s="196" t="s">
        <v>16</v>
      </c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  <c r="BA105" s="201"/>
      <c r="BB105" s="201"/>
      <c r="BC105" s="201"/>
      <c r="BD105" s="201"/>
    </row>
    <row r="106">
      <c r="A106" s="212">
        <v>46299.0</v>
      </c>
      <c r="B106" s="213">
        <v>46269.0</v>
      </c>
      <c r="C106" s="203" t="s">
        <v>748</v>
      </c>
      <c r="D106" s="203" t="s">
        <v>749</v>
      </c>
      <c r="E106" s="185" t="s">
        <v>634</v>
      </c>
      <c r="F106" s="98">
        <v>6.26048008E8</v>
      </c>
      <c r="H106" s="216">
        <v>6648.0</v>
      </c>
      <c r="I106" s="20" t="s">
        <v>127</v>
      </c>
      <c r="J106" s="185" t="s">
        <v>56</v>
      </c>
      <c r="K106" s="185">
        <v>8.826871385E9</v>
      </c>
      <c r="L106" s="223">
        <v>6000.0</v>
      </c>
      <c r="M106" s="185"/>
      <c r="N106" s="185"/>
      <c r="O106" s="185"/>
      <c r="P106" s="185"/>
      <c r="Q106" s="203">
        <v>1000.0</v>
      </c>
      <c r="R106" s="203" t="s">
        <v>671</v>
      </c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</row>
    <row r="107">
      <c r="A107" s="207">
        <v>46299.0</v>
      </c>
      <c r="B107" s="208">
        <v>46269.0</v>
      </c>
      <c r="C107" s="209" t="s">
        <v>750</v>
      </c>
      <c r="D107" s="220" t="s">
        <v>751</v>
      </c>
      <c r="E107" s="154" t="s">
        <v>634</v>
      </c>
      <c r="F107" s="98">
        <v>6.2604801E8</v>
      </c>
      <c r="H107" s="220">
        <v>3137.0</v>
      </c>
      <c r="I107" s="20" t="s">
        <v>372</v>
      </c>
      <c r="J107" s="154" t="s">
        <v>373</v>
      </c>
      <c r="K107" s="154">
        <v>8.684015172E9</v>
      </c>
      <c r="L107" s="219">
        <v>3000.0</v>
      </c>
      <c r="M107" s="154"/>
      <c r="N107" s="154"/>
      <c r="O107" s="154"/>
      <c r="P107" s="154"/>
      <c r="Q107" s="209">
        <v>300.0</v>
      </c>
      <c r="R107" s="209" t="s">
        <v>671</v>
      </c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</row>
    <row r="108">
      <c r="A108" s="212">
        <v>46299.0</v>
      </c>
      <c r="B108" s="213">
        <v>46269.0</v>
      </c>
      <c r="C108" s="203" t="s">
        <v>752</v>
      </c>
      <c r="D108" s="203" t="s">
        <v>681</v>
      </c>
      <c r="E108" s="185" t="s">
        <v>634</v>
      </c>
      <c r="F108" s="98">
        <v>6.26048013E8</v>
      </c>
      <c r="H108" s="216">
        <v>1246.0</v>
      </c>
      <c r="I108" s="74" t="s">
        <v>711</v>
      </c>
      <c r="J108" s="216" t="s">
        <v>141</v>
      </c>
      <c r="K108" s="204">
        <v>8.527548248E9</v>
      </c>
      <c r="L108" s="223">
        <v>3000.0</v>
      </c>
      <c r="O108" s="185"/>
      <c r="P108" s="185"/>
      <c r="Q108" s="223">
        <v>500.0</v>
      </c>
      <c r="R108" s="223" t="s">
        <v>671</v>
      </c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</row>
    <row r="109">
      <c r="A109" s="207">
        <v>46299.0</v>
      </c>
      <c r="B109" s="207">
        <v>46238.0</v>
      </c>
      <c r="C109" s="210" t="s">
        <v>753</v>
      </c>
      <c r="D109" s="210" t="s">
        <v>754</v>
      </c>
      <c r="E109" s="154" t="s">
        <v>634</v>
      </c>
      <c r="F109" s="149">
        <v>6.26048E8</v>
      </c>
      <c r="H109" s="227">
        <v>6649.0</v>
      </c>
      <c r="I109" s="47" t="s">
        <v>360</v>
      </c>
      <c r="J109" s="154" t="s">
        <v>56</v>
      </c>
      <c r="K109" s="202">
        <v>7.355962044E9</v>
      </c>
      <c r="L109" s="210">
        <v>4200.0</v>
      </c>
      <c r="M109" s="154"/>
      <c r="N109" s="154"/>
      <c r="O109" s="154"/>
      <c r="P109" s="154"/>
      <c r="Q109" s="210">
        <v>500.0</v>
      </c>
      <c r="R109" s="210" t="s">
        <v>755</v>
      </c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76"/>
      <c r="AZ109" s="76"/>
      <c r="BA109" s="76"/>
      <c r="BB109" s="76"/>
      <c r="BC109" s="76"/>
      <c r="BD109" s="76"/>
    </row>
    <row r="110">
      <c r="A110" s="212">
        <v>46299.0</v>
      </c>
      <c r="B110" s="213">
        <v>46269.0</v>
      </c>
      <c r="C110" s="203" t="s">
        <v>756</v>
      </c>
      <c r="D110" s="203" t="s">
        <v>757</v>
      </c>
      <c r="E110" s="185" t="s">
        <v>634</v>
      </c>
      <c r="F110" s="98">
        <v>6.26048015E8</v>
      </c>
      <c r="H110" s="216">
        <v>6653.0</v>
      </c>
      <c r="I110" s="52" t="s">
        <v>124</v>
      </c>
      <c r="J110" s="185" t="s">
        <v>56</v>
      </c>
      <c r="K110" s="204">
        <v>7.290982776E9</v>
      </c>
      <c r="L110" s="223">
        <v>3600.0</v>
      </c>
      <c r="O110" s="185"/>
      <c r="P110" s="185"/>
      <c r="Q110" s="223">
        <v>300.0</v>
      </c>
      <c r="R110" s="223" t="s">
        <v>671</v>
      </c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</row>
    <row r="111">
      <c r="A111" s="207">
        <v>46299.0</v>
      </c>
      <c r="B111" s="207">
        <v>46299.0</v>
      </c>
      <c r="C111" s="220" t="s">
        <v>758</v>
      </c>
      <c r="D111" s="220" t="s">
        <v>759</v>
      </c>
      <c r="E111" s="154" t="s">
        <v>634</v>
      </c>
      <c r="F111" s="220">
        <v>6.26048018E8</v>
      </c>
      <c r="H111" s="154" t="s">
        <v>29</v>
      </c>
      <c r="I111" s="20" t="s">
        <v>63</v>
      </c>
      <c r="J111" s="154" t="s">
        <v>64</v>
      </c>
      <c r="K111" s="154">
        <v>9.779272314E9</v>
      </c>
      <c r="L111" s="234">
        <v>260.0</v>
      </c>
      <c r="O111" s="154"/>
      <c r="P111" s="154"/>
      <c r="Q111" s="234">
        <v>60.0</v>
      </c>
      <c r="R111" s="219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</row>
    <row r="112">
      <c r="A112" s="212"/>
      <c r="B112" s="213"/>
      <c r="C112" s="203"/>
      <c r="D112" s="203"/>
      <c r="E112" s="185"/>
      <c r="F112" s="203"/>
      <c r="H112" s="235"/>
      <c r="J112" s="185"/>
      <c r="K112" s="185"/>
      <c r="L112" s="223"/>
      <c r="O112" s="185"/>
      <c r="P112" s="185"/>
      <c r="Q112" s="223"/>
      <c r="R112" s="223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</row>
    <row r="113">
      <c r="A113" s="207"/>
      <c r="B113" s="208"/>
      <c r="C113" s="209"/>
      <c r="D113" s="209"/>
      <c r="E113" s="154"/>
      <c r="F113" s="209"/>
      <c r="H113" s="236"/>
      <c r="J113" s="154"/>
      <c r="K113" s="154"/>
      <c r="L113" s="237">
        <f>SUM(L106:L112)</f>
        <v>20060</v>
      </c>
      <c r="O113" s="154"/>
      <c r="P113" s="154"/>
      <c r="Q113" s="219"/>
      <c r="R113" s="219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</row>
    <row r="114">
      <c r="A114" s="206">
        <v>46330.0</v>
      </c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9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2"/>
      <c r="AZ114" s="2"/>
      <c r="BA114" s="2"/>
      <c r="BB114" s="2"/>
      <c r="BC114" s="2"/>
      <c r="BD114" s="2"/>
    </row>
    <row r="115" ht="42.0" customHeight="1">
      <c r="A115" s="195" t="s">
        <v>0</v>
      </c>
      <c r="B115" s="195" t="s">
        <v>1</v>
      </c>
      <c r="C115" s="196" t="s">
        <v>2</v>
      </c>
      <c r="D115" s="196" t="s">
        <v>3</v>
      </c>
      <c r="E115" s="196" t="s">
        <v>4</v>
      </c>
      <c r="F115" s="196" t="s">
        <v>642</v>
      </c>
      <c r="G115" s="196" t="s">
        <v>643</v>
      </c>
      <c r="H115" s="196" t="s">
        <v>7</v>
      </c>
      <c r="I115" s="196" t="s">
        <v>8</v>
      </c>
      <c r="J115" s="196" t="s">
        <v>9</v>
      </c>
      <c r="K115" s="197" t="s">
        <v>10</v>
      </c>
      <c r="L115" s="197" t="s">
        <v>644</v>
      </c>
      <c r="M115" s="198" t="s">
        <v>645</v>
      </c>
      <c r="N115" s="196" t="s">
        <v>13</v>
      </c>
      <c r="O115" s="199" t="s">
        <v>14</v>
      </c>
      <c r="P115" s="200" t="s">
        <v>646</v>
      </c>
      <c r="Q115" s="197" t="s">
        <v>647</v>
      </c>
      <c r="R115" s="196" t="s">
        <v>16</v>
      </c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</row>
    <row r="116">
      <c r="A116" s="212">
        <v>46330.0</v>
      </c>
      <c r="B116" s="213">
        <v>46269.0</v>
      </c>
      <c r="C116" s="203" t="s">
        <v>760</v>
      </c>
      <c r="D116" s="203" t="s">
        <v>761</v>
      </c>
      <c r="E116" s="185" t="s">
        <v>634</v>
      </c>
      <c r="F116" s="98">
        <v>6.26048016E8</v>
      </c>
      <c r="H116" s="216">
        <v>6656.0</v>
      </c>
      <c r="I116" s="47" t="s">
        <v>360</v>
      </c>
      <c r="J116" s="185" t="s">
        <v>56</v>
      </c>
      <c r="K116" s="204">
        <v>7.355962044E9</v>
      </c>
      <c r="L116" s="223">
        <v>3420.0</v>
      </c>
      <c r="O116" s="185"/>
      <c r="P116" s="185"/>
      <c r="Q116" s="223">
        <v>315.0</v>
      </c>
      <c r="R116" s="223" t="s">
        <v>671</v>
      </c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</row>
    <row r="117">
      <c r="A117" s="207">
        <v>46330.0</v>
      </c>
      <c r="B117" s="208">
        <v>46299.0</v>
      </c>
      <c r="C117" s="209" t="s">
        <v>735</v>
      </c>
      <c r="D117" s="209" t="s">
        <v>736</v>
      </c>
      <c r="E117" s="154" t="s">
        <v>634</v>
      </c>
      <c r="F117" s="98">
        <v>6.2604802E8</v>
      </c>
      <c r="H117" s="220">
        <v>1247.0</v>
      </c>
      <c r="I117" s="20" t="s">
        <v>511</v>
      </c>
      <c r="J117" s="154" t="s">
        <v>141</v>
      </c>
      <c r="K117" s="154">
        <v>8.285997574E9</v>
      </c>
      <c r="L117" s="219">
        <v>2712.0</v>
      </c>
      <c r="O117" s="154"/>
      <c r="P117" s="154"/>
      <c r="Q117" s="219">
        <v>302.0</v>
      </c>
      <c r="R117" s="219" t="s">
        <v>671</v>
      </c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</row>
    <row r="118">
      <c r="A118" s="212">
        <v>46330.0</v>
      </c>
      <c r="B118" s="212">
        <v>46330.0</v>
      </c>
      <c r="C118" s="214" t="s">
        <v>685</v>
      </c>
      <c r="D118" s="214" t="s">
        <v>686</v>
      </c>
      <c r="E118" s="185" t="s">
        <v>634</v>
      </c>
      <c r="F118" s="100">
        <v>6.26048025E8</v>
      </c>
      <c r="H118" s="216">
        <v>3138.0</v>
      </c>
      <c r="I118" s="20" t="s">
        <v>372</v>
      </c>
      <c r="J118" s="185" t="s">
        <v>373</v>
      </c>
      <c r="K118" s="185">
        <v>8.684015172E9</v>
      </c>
      <c r="L118" s="223">
        <v>3000.0</v>
      </c>
      <c r="O118" s="185"/>
      <c r="P118" s="185"/>
      <c r="Q118" s="238">
        <v>500.0</v>
      </c>
      <c r="R118" s="238" t="s">
        <v>762</v>
      </c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</row>
    <row r="119">
      <c r="A119" s="207">
        <v>46330.0</v>
      </c>
      <c r="B119" s="208">
        <v>46299.0</v>
      </c>
      <c r="C119" s="209" t="s">
        <v>763</v>
      </c>
      <c r="D119" s="209" t="s">
        <v>764</v>
      </c>
      <c r="E119" s="154" t="s">
        <v>634</v>
      </c>
      <c r="F119" s="98">
        <v>6.26048019E8</v>
      </c>
      <c r="H119" s="220">
        <v>6657.0</v>
      </c>
      <c r="I119" s="52" t="s">
        <v>124</v>
      </c>
      <c r="J119" s="154" t="s">
        <v>56</v>
      </c>
      <c r="K119" s="202">
        <v>7.290982776E9</v>
      </c>
      <c r="L119" s="219">
        <v>3000.0</v>
      </c>
      <c r="O119" s="154"/>
      <c r="P119" s="154"/>
      <c r="Q119" s="219">
        <v>500.0</v>
      </c>
      <c r="R119" s="219" t="s">
        <v>671</v>
      </c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</row>
    <row r="120">
      <c r="A120" s="212">
        <v>46330.0</v>
      </c>
      <c r="B120" s="212">
        <v>46330.0</v>
      </c>
      <c r="C120" s="216" t="s">
        <v>765</v>
      </c>
      <c r="D120" s="216" t="s">
        <v>766</v>
      </c>
      <c r="E120" s="185" t="s">
        <v>634</v>
      </c>
      <c r="F120" s="100">
        <v>6.26048026E8</v>
      </c>
      <c r="H120" s="216">
        <v>1248.0</v>
      </c>
      <c r="I120" s="20" t="s">
        <v>511</v>
      </c>
      <c r="J120" s="185" t="s">
        <v>141</v>
      </c>
      <c r="K120" s="185">
        <v>8.285997574E9</v>
      </c>
      <c r="L120" s="238">
        <v>3000.0</v>
      </c>
      <c r="O120" s="185"/>
      <c r="P120" s="185"/>
      <c r="Q120" s="223"/>
      <c r="R120" s="223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</row>
    <row r="121">
      <c r="A121" s="207">
        <v>46330.0</v>
      </c>
      <c r="B121" s="207">
        <v>46330.0</v>
      </c>
      <c r="C121" s="220" t="s">
        <v>315</v>
      </c>
      <c r="D121" s="220" t="s">
        <v>316</v>
      </c>
      <c r="E121" s="220" t="s">
        <v>317</v>
      </c>
      <c r="F121" s="220">
        <v>6.26048024E8</v>
      </c>
      <c r="H121" s="220" t="s">
        <v>29</v>
      </c>
      <c r="I121" s="74" t="s">
        <v>119</v>
      </c>
      <c r="J121" s="202" t="s">
        <v>31</v>
      </c>
      <c r="K121" s="202">
        <v>9.896437186E9</v>
      </c>
      <c r="L121" s="234">
        <v>9830.0</v>
      </c>
      <c r="O121" s="154"/>
      <c r="P121" s="154"/>
      <c r="Q121" s="234">
        <v>1403.0</v>
      </c>
      <c r="R121" s="219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</row>
    <row r="122">
      <c r="A122" s="212"/>
      <c r="B122" s="213"/>
      <c r="C122" s="203"/>
      <c r="D122" s="216"/>
      <c r="E122" s="185"/>
      <c r="F122" s="203"/>
      <c r="K122" s="185"/>
      <c r="L122" s="238"/>
      <c r="O122" s="185"/>
      <c r="P122" s="185"/>
      <c r="Q122" s="223"/>
      <c r="R122" s="223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</row>
    <row r="123">
      <c r="A123" s="207"/>
      <c r="B123" s="208"/>
      <c r="C123" s="209"/>
      <c r="D123" s="220"/>
      <c r="E123" s="154"/>
      <c r="F123" s="209"/>
      <c r="K123" s="154"/>
      <c r="L123" s="239">
        <f>SUM(L116:L122)</f>
        <v>24962</v>
      </c>
      <c r="O123" s="154"/>
      <c r="P123" s="154"/>
      <c r="Q123" s="219"/>
      <c r="R123" s="219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</row>
    <row r="124">
      <c r="A124" s="212"/>
      <c r="B124" s="213"/>
      <c r="C124" s="203"/>
      <c r="D124" s="216"/>
      <c r="E124" s="185"/>
      <c r="F124" s="203"/>
      <c r="K124" s="185"/>
      <c r="L124" s="238"/>
      <c r="O124" s="185"/>
      <c r="P124" s="185"/>
      <c r="Q124" s="223"/>
      <c r="R124" s="223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</row>
    <row r="125">
      <c r="A125" s="240" t="s">
        <v>357</v>
      </c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6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2"/>
      <c r="AZ125" s="2"/>
      <c r="BA125" s="2"/>
      <c r="BB125" s="2"/>
      <c r="BC125" s="2"/>
      <c r="BD125" s="2"/>
    </row>
    <row r="126" ht="42.0" customHeight="1">
      <c r="A126" s="195" t="s">
        <v>0</v>
      </c>
      <c r="B126" s="195" t="s">
        <v>1</v>
      </c>
      <c r="C126" s="196" t="s">
        <v>2</v>
      </c>
      <c r="D126" s="196" t="s">
        <v>3</v>
      </c>
      <c r="E126" s="196" t="s">
        <v>4</v>
      </c>
      <c r="F126" s="196" t="s">
        <v>642</v>
      </c>
      <c r="G126" s="196" t="s">
        <v>643</v>
      </c>
      <c r="H126" s="196" t="s">
        <v>7</v>
      </c>
      <c r="I126" s="196" t="s">
        <v>8</v>
      </c>
      <c r="J126" s="196" t="s">
        <v>9</v>
      </c>
      <c r="K126" s="197" t="s">
        <v>10</v>
      </c>
      <c r="L126" s="197" t="s">
        <v>644</v>
      </c>
      <c r="M126" s="198" t="s">
        <v>645</v>
      </c>
      <c r="N126" s="196" t="s">
        <v>13</v>
      </c>
      <c r="O126" s="199" t="s">
        <v>14</v>
      </c>
      <c r="P126" s="200" t="s">
        <v>646</v>
      </c>
      <c r="Q126" s="197" t="s">
        <v>647</v>
      </c>
      <c r="R126" s="196" t="s">
        <v>16</v>
      </c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</row>
    <row r="127">
      <c r="A127" s="202" t="s">
        <v>357</v>
      </c>
      <c r="B127" s="208">
        <v>46269.0</v>
      </c>
      <c r="C127" s="209" t="s">
        <v>767</v>
      </c>
      <c r="D127" s="220" t="s">
        <v>768</v>
      </c>
      <c r="E127" s="154" t="s">
        <v>634</v>
      </c>
      <c r="F127" s="98">
        <v>6.26048014E8</v>
      </c>
      <c r="H127" s="220">
        <v>6659.0</v>
      </c>
      <c r="I127" s="52" t="s">
        <v>124</v>
      </c>
      <c r="J127" s="154" t="s">
        <v>56</v>
      </c>
      <c r="K127" s="202">
        <v>7.290982776E9</v>
      </c>
      <c r="L127" s="234">
        <v>2000.0</v>
      </c>
      <c r="O127" s="154"/>
      <c r="P127" s="154"/>
      <c r="Q127" s="219">
        <v>310.0</v>
      </c>
      <c r="R127" s="219" t="s">
        <v>671</v>
      </c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</row>
    <row r="128">
      <c r="A128" s="204" t="s">
        <v>357</v>
      </c>
      <c r="B128" s="213">
        <v>46207.0</v>
      </c>
      <c r="C128" s="203" t="s">
        <v>281</v>
      </c>
      <c r="D128" s="203" t="s">
        <v>362</v>
      </c>
      <c r="E128" s="216" t="s">
        <v>634</v>
      </c>
      <c r="F128" s="98">
        <v>6.26047989E8</v>
      </c>
      <c r="H128" s="216">
        <v>6662.0</v>
      </c>
      <c r="I128" s="20" t="s">
        <v>114</v>
      </c>
      <c r="J128" s="185" t="s">
        <v>56</v>
      </c>
      <c r="K128" s="185">
        <v>9.956958533E9</v>
      </c>
      <c r="L128" s="225">
        <v>171.6</v>
      </c>
      <c r="O128" s="186"/>
      <c r="P128" s="186"/>
      <c r="Q128" s="203"/>
      <c r="R128" s="203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2"/>
      <c r="AZ128" s="2"/>
      <c r="BA128" s="2"/>
      <c r="BB128" s="2"/>
      <c r="BC128" s="2"/>
      <c r="BD128" s="2"/>
    </row>
    <row r="129">
      <c r="A129" s="202" t="s">
        <v>357</v>
      </c>
      <c r="B129" s="202" t="s">
        <v>357</v>
      </c>
      <c r="C129" s="220" t="s">
        <v>366</v>
      </c>
      <c r="D129" s="220" t="s">
        <v>367</v>
      </c>
      <c r="E129" s="220" t="s">
        <v>634</v>
      </c>
      <c r="F129" s="100">
        <v>6.26048028E8</v>
      </c>
      <c r="H129" s="220">
        <v>6663.0</v>
      </c>
      <c r="I129" s="20" t="s">
        <v>127</v>
      </c>
      <c r="J129" s="154" t="s">
        <v>56</v>
      </c>
      <c r="K129" s="154">
        <v>8.826871385E9</v>
      </c>
      <c r="L129" s="220">
        <v>332.0</v>
      </c>
      <c r="M129" s="211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7"/>
      <c r="AZ129" s="7"/>
      <c r="BA129" s="7"/>
      <c r="BB129" s="7"/>
      <c r="BC129" s="7"/>
      <c r="BD129" s="7"/>
    </row>
    <row r="130">
      <c r="A130" s="204" t="s">
        <v>357</v>
      </c>
      <c r="B130" s="204" t="s">
        <v>357</v>
      </c>
      <c r="C130" s="216" t="s">
        <v>366</v>
      </c>
      <c r="D130" s="216" t="s">
        <v>367</v>
      </c>
      <c r="E130" s="216" t="s">
        <v>634</v>
      </c>
      <c r="F130" s="100">
        <v>6.26048029E8</v>
      </c>
      <c r="H130" s="216">
        <v>6663.0</v>
      </c>
      <c r="I130" s="20" t="s">
        <v>127</v>
      </c>
      <c r="J130" s="185" t="s">
        <v>56</v>
      </c>
      <c r="K130" s="185">
        <v>8.826871385E9</v>
      </c>
      <c r="L130" s="216">
        <v>392.0</v>
      </c>
      <c r="M130" s="215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7"/>
      <c r="AZ130" s="7"/>
      <c r="BA130" s="7"/>
      <c r="BB130" s="7"/>
      <c r="BC130" s="7"/>
      <c r="BD130" s="7"/>
    </row>
    <row r="131">
      <c r="A131" s="202" t="s">
        <v>357</v>
      </c>
      <c r="B131" s="202" t="s">
        <v>357</v>
      </c>
      <c r="C131" s="220" t="s">
        <v>366</v>
      </c>
      <c r="D131" s="220" t="s">
        <v>367</v>
      </c>
      <c r="E131" s="220" t="s">
        <v>634</v>
      </c>
      <c r="F131" s="100">
        <v>6.2604803E8</v>
      </c>
      <c r="H131" s="220">
        <v>6663.0</v>
      </c>
      <c r="I131" s="20" t="s">
        <v>127</v>
      </c>
      <c r="J131" s="154" t="s">
        <v>56</v>
      </c>
      <c r="K131" s="154">
        <v>8.826871385E9</v>
      </c>
      <c r="L131" s="220">
        <v>332.0</v>
      </c>
      <c r="M131" s="211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7"/>
      <c r="AZ131" s="7"/>
      <c r="BA131" s="7"/>
      <c r="BB131" s="7"/>
      <c r="BC131" s="7"/>
      <c r="BD131" s="7"/>
    </row>
    <row r="132">
      <c r="A132" s="204" t="s">
        <v>357</v>
      </c>
      <c r="B132" s="204" t="s">
        <v>357</v>
      </c>
      <c r="C132" s="216" t="s">
        <v>366</v>
      </c>
      <c r="D132" s="216" t="s">
        <v>367</v>
      </c>
      <c r="E132" s="216" t="s">
        <v>634</v>
      </c>
      <c r="F132" s="100">
        <v>6.26048031E8</v>
      </c>
      <c r="H132" s="216">
        <v>6663.0</v>
      </c>
      <c r="I132" s="20" t="s">
        <v>127</v>
      </c>
      <c r="J132" s="185" t="s">
        <v>56</v>
      </c>
      <c r="K132" s="185">
        <v>8.826871385E9</v>
      </c>
      <c r="L132" s="216">
        <v>328.0</v>
      </c>
      <c r="M132" s="215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7"/>
      <c r="AZ132" s="7"/>
      <c r="BA132" s="7"/>
      <c r="BB132" s="7"/>
      <c r="BC132" s="7"/>
      <c r="BD132" s="7"/>
    </row>
    <row r="133">
      <c r="A133" s="202"/>
      <c r="B133" s="154"/>
      <c r="C133" s="154"/>
      <c r="D133" s="154"/>
      <c r="E133" s="154"/>
      <c r="F133" s="154"/>
      <c r="G133" s="175"/>
      <c r="H133" s="175"/>
      <c r="I133" s="175"/>
      <c r="J133" s="175"/>
      <c r="K133" s="175"/>
      <c r="L133" s="183"/>
      <c r="M133" s="175"/>
      <c r="N133" s="175"/>
      <c r="O133" s="175"/>
      <c r="P133" s="175"/>
      <c r="Q133" s="154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2"/>
      <c r="AZ133" s="2"/>
      <c r="BA133" s="2"/>
      <c r="BB133" s="2"/>
      <c r="BC133" s="2"/>
      <c r="BD133" s="2"/>
    </row>
    <row r="134">
      <c r="A134" s="204"/>
      <c r="B134" s="185"/>
      <c r="C134" s="185"/>
      <c r="D134" s="185"/>
      <c r="E134" s="185"/>
      <c r="F134" s="217"/>
      <c r="G134" s="186"/>
      <c r="H134" s="186"/>
      <c r="I134" s="186"/>
      <c r="J134" s="186"/>
      <c r="K134" s="186"/>
      <c r="L134" s="194">
        <f>SUM(L127:L133)</f>
        <v>3555.6</v>
      </c>
      <c r="M134" s="186"/>
      <c r="N134" s="186"/>
      <c r="O134" s="186"/>
      <c r="P134" s="186"/>
      <c r="Q134" s="185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2"/>
      <c r="AZ134" s="2"/>
      <c r="BA134" s="2"/>
      <c r="BB134" s="2"/>
      <c r="BC134" s="2"/>
      <c r="BD134" s="2"/>
    </row>
    <row r="135">
      <c r="A135" s="202"/>
      <c r="B135" s="154"/>
      <c r="C135" s="154"/>
      <c r="D135" s="154"/>
      <c r="E135" s="154"/>
      <c r="F135" s="154"/>
      <c r="G135" s="175"/>
      <c r="H135" s="175"/>
      <c r="I135" s="175"/>
      <c r="J135" s="175"/>
      <c r="K135" s="175"/>
      <c r="L135" s="183"/>
      <c r="M135" s="175"/>
      <c r="N135" s="175"/>
      <c r="O135" s="175"/>
      <c r="P135" s="175"/>
      <c r="Q135" s="154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2"/>
      <c r="AZ135" s="2"/>
      <c r="BA135" s="2"/>
      <c r="BB135" s="2"/>
      <c r="BC135" s="2"/>
      <c r="BD135" s="2"/>
    </row>
    <row r="136">
      <c r="A136" s="204"/>
      <c r="B136" s="185"/>
      <c r="C136" s="185"/>
      <c r="D136" s="185"/>
      <c r="E136" s="185"/>
      <c r="F136" s="185"/>
      <c r="G136" s="186"/>
      <c r="H136" s="186"/>
      <c r="I136" s="186"/>
      <c r="J136" s="186"/>
      <c r="K136" s="186"/>
      <c r="L136" s="188"/>
      <c r="M136" s="186"/>
      <c r="N136" s="186"/>
      <c r="O136" s="186"/>
      <c r="P136" s="186"/>
      <c r="Q136" s="185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2"/>
      <c r="AZ136" s="2"/>
      <c r="BA136" s="2"/>
      <c r="BB136" s="2"/>
      <c r="BC136" s="2"/>
      <c r="BD136" s="2"/>
    </row>
    <row r="137">
      <c r="A137" s="240" t="s">
        <v>370</v>
      </c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6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2"/>
      <c r="AZ137" s="2"/>
      <c r="BA137" s="2"/>
      <c r="BB137" s="2"/>
      <c r="BC137" s="2"/>
      <c r="BD137" s="2"/>
    </row>
    <row r="138" ht="42.0" customHeight="1">
      <c r="A138" s="195" t="s">
        <v>0</v>
      </c>
      <c r="B138" s="195" t="s">
        <v>1</v>
      </c>
      <c r="C138" s="196" t="s">
        <v>2</v>
      </c>
      <c r="D138" s="196" t="s">
        <v>3</v>
      </c>
      <c r="E138" s="196" t="s">
        <v>4</v>
      </c>
      <c r="F138" s="196" t="s">
        <v>642</v>
      </c>
      <c r="G138" s="196" t="s">
        <v>643</v>
      </c>
      <c r="H138" s="196" t="s">
        <v>7</v>
      </c>
      <c r="I138" s="196" t="s">
        <v>8</v>
      </c>
      <c r="J138" s="196" t="s">
        <v>9</v>
      </c>
      <c r="K138" s="197" t="s">
        <v>10</v>
      </c>
      <c r="L138" s="197" t="s">
        <v>644</v>
      </c>
      <c r="M138" s="198" t="s">
        <v>645</v>
      </c>
      <c r="N138" s="196" t="s">
        <v>13</v>
      </c>
      <c r="O138" s="199" t="s">
        <v>14</v>
      </c>
      <c r="P138" s="200" t="s">
        <v>646</v>
      </c>
      <c r="Q138" s="197" t="s">
        <v>647</v>
      </c>
      <c r="R138" s="196" t="s">
        <v>16</v>
      </c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201"/>
    </row>
    <row r="139">
      <c r="A139" s="202" t="s">
        <v>370</v>
      </c>
      <c r="B139" s="202" t="s">
        <v>357</v>
      </c>
      <c r="C139" s="202" t="s">
        <v>769</v>
      </c>
      <c r="D139" s="202" t="s">
        <v>770</v>
      </c>
      <c r="E139" s="220" t="s">
        <v>634</v>
      </c>
      <c r="F139" s="241">
        <v>6.26048033E8</v>
      </c>
      <c r="G139" s="175"/>
      <c r="H139" s="220">
        <v>1249.0</v>
      </c>
      <c r="I139" s="20" t="s">
        <v>511</v>
      </c>
      <c r="J139" s="154" t="s">
        <v>141</v>
      </c>
      <c r="K139" s="154">
        <v>8.285997574E9</v>
      </c>
      <c r="L139" s="242">
        <v>3000.0</v>
      </c>
      <c r="M139" s="175"/>
      <c r="N139" s="175"/>
      <c r="O139" s="175"/>
      <c r="P139" s="175"/>
      <c r="Q139" s="154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2"/>
      <c r="AZ139" s="2"/>
      <c r="BA139" s="2"/>
      <c r="BB139" s="2"/>
      <c r="BC139" s="2"/>
      <c r="BD139" s="2"/>
    </row>
    <row r="140">
      <c r="A140" s="204" t="s">
        <v>370</v>
      </c>
      <c r="B140" s="203" t="s">
        <v>357</v>
      </c>
      <c r="C140" s="203" t="s">
        <v>771</v>
      </c>
      <c r="D140" s="203" t="s">
        <v>772</v>
      </c>
      <c r="E140" s="185" t="s">
        <v>634</v>
      </c>
      <c r="F140" s="98">
        <v>6.26048032E8</v>
      </c>
      <c r="H140" s="216">
        <v>6667.0</v>
      </c>
      <c r="I140" s="47" t="s">
        <v>124</v>
      </c>
      <c r="J140" s="185" t="s">
        <v>56</v>
      </c>
      <c r="K140" s="204">
        <v>7.290982776E9</v>
      </c>
      <c r="L140" s="216">
        <v>3000.0</v>
      </c>
      <c r="O140" s="186"/>
      <c r="P140" s="186"/>
      <c r="Q140" s="216">
        <v>500.0</v>
      </c>
      <c r="R140" s="203" t="s">
        <v>671</v>
      </c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2"/>
      <c r="AZ140" s="2"/>
      <c r="BA140" s="2"/>
      <c r="BB140" s="2"/>
      <c r="BC140" s="2"/>
      <c r="BD140" s="2"/>
    </row>
    <row r="141">
      <c r="A141" s="202" t="s">
        <v>370</v>
      </c>
      <c r="B141" s="209" t="s">
        <v>357</v>
      </c>
      <c r="C141" s="209" t="s">
        <v>112</v>
      </c>
      <c r="D141" s="209" t="s">
        <v>375</v>
      </c>
      <c r="E141" s="154" t="s">
        <v>634</v>
      </c>
      <c r="F141" s="98">
        <v>6.26048034E8</v>
      </c>
      <c r="H141" s="220">
        <v>6670.0</v>
      </c>
      <c r="I141" s="47" t="s">
        <v>360</v>
      </c>
      <c r="J141" s="154" t="s">
        <v>56</v>
      </c>
      <c r="K141" s="202">
        <v>7.355962044E9</v>
      </c>
      <c r="L141" s="220">
        <v>2520.0</v>
      </c>
      <c r="O141" s="175"/>
      <c r="P141" s="175"/>
      <c r="Q141" s="209">
        <v>380.0</v>
      </c>
      <c r="R141" s="220" t="s">
        <v>671</v>
      </c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2"/>
      <c r="AZ141" s="2"/>
      <c r="BA141" s="2"/>
      <c r="BB141" s="2"/>
      <c r="BC141" s="2"/>
      <c r="BD141" s="2"/>
    </row>
    <row r="142">
      <c r="A142" s="204" t="s">
        <v>370</v>
      </c>
      <c r="B142" s="203" t="s">
        <v>357</v>
      </c>
      <c r="C142" s="203" t="s">
        <v>112</v>
      </c>
      <c r="D142" s="203" t="s">
        <v>375</v>
      </c>
      <c r="E142" s="185" t="s">
        <v>634</v>
      </c>
      <c r="F142" s="98">
        <v>6.26048035E8</v>
      </c>
      <c r="H142" s="216">
        <v>6670.0</v>
      </c>
      <c r="I142" s="47" t="s">
        <v>360</v>
      </c>
      <c r="J142" s="185" t="s">
        <v>56</v>
      </c>
      <c r="K142" s="204">
        <v>7.355962044E9</v>
      </c>
      <c r="L142" s="216">
        <v>450.0</v>
      </c>
      <c r="O142" s="186"/>
      <c r="P142" s="186"/>
      <c r="Q142" s="203">
        <v>50.0</v>
      </c>
      <c r="R142" s="216" t="s">
        <v>671</v>
      </c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2"/>
      <c r="AZ142" s="2"/>
      <c r="BA142" s="2"/>
      <c r="BB142" s="2"/>
      <c r="BC142" s="2"/>
      <c r="BD142" s="2"/>
    </row>
    <row r="143">
      <c r="A143" s="202"/>
      <c r="B143" s="154"/>
      <c r="C143" s="154"/>
      <c r="D143" s="154"/>
      <c r="E143" s="154"/>
      <c r="F143" s="154"/>
      <c r="G143" s="175"/>
      <c r="H143" s="220"/>
      <c r="I143" s="175"/>
      <c r="J143" s="175"/>
      <c r="K143" s="175"/>
      <c r="L143" s="183"/>
      <c r="M143" s="175"/>
      <c r="N143" s="175"/>
      <c r="O143" s="175"/>
      <c r="P143" s="175"/>
      <c r="Q143" s="154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2"/>
      <c r="AZ143" s="2"/>
      <c r="BA143" s="2"/>
      <c r="BB143" s="2"/>
      <c r="BC143" s="2"/>
      <c r="BD143" s="2"/>
    </row>
    <row r="144">
      <c r="A144" s="204"/>
      <c r="B144" s="185"/>
      <c r="C144" s="185"/>
      <c r="D144" s="185"/>
      <c r="E144" s="185"/>
      <c r="F144" s="185"/>
      <c r="G144" s="186"/>
      <c r="H144" s="216"/>
      <c r="I144" s="186"/>
      <c r="J144" s="186"/>
      <c r="K144" s="186"/>
      <c r="L144" s="243">
        <f>SUM(L139:L143)</f>
        <v>8970</v>
      </c>
      <c r="M144" s="186"/>
      <c r="N144" s="186"/>
      <c r="O144" s="186"/>
      <c r="P144" s="186"/>
      <c r="Q144" s="185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2"/>
      <c r="AZ144" s="2"/>
      <c r="BA144" s="2"/>
      <c r="BB144" s="2"/>
      <c r="BC144" s="2"/>
      <c r="BD144" s="2"/>
    </row>
    <row r="145">
      <c r="A145" s="202"/>
      <c r="B145" s="154"/>
      <c r="C145" s="154"/>
      <c r="D145" s="154"/>
      <c r="E145" s="154"/>
      <c r="F145" s="154"/>
      <c r="G145" s="175"/>
      <c r="H145" s="175"/>
      <c r="I145" s="175"/>
      <c r="J145" s="175"/>
      <c r="K145" s="175"/>
      <c r="L145" s="183"/>
      <c r="M145" s="175"/>
      <c r="N145" s="175"/>
      <c r="O145" s="175"/>
      <c r="P145" s="175"/>
      <c r="Q145" s="154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  <c r="AT145" s="175"/>
      <c r="AU145" s="175"/>
      <c r="AV145" s="175"/>
      <c r="AW145" s="175"/>
      <c r="AX145" s="175"/>
      <c r="AY145" s="2"/>
      <c r="AZ145" s="2"/>
      <c r="BA145" s="2"/>
      <c r="BB145" s="2"/>
      <c r="BC145" s="2"/>
      <c r="BD145" s="2"/>
    </row>
    <row r="146">
      <c r="A146" s="240" t="s">
        <v>376</v>
      </c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9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2"/>
      <c r="AZ146" s="2"/>
      <c r="BA146" s="2"/>
      <c r="BB146" s="2"/>
      <c r="BC146" s="2"/>
      <c r="BD146" s="2"/>
    </row>
    <row r="147" ht="42.0" customHeight="1">
      <c r="A147" s="195" t="s">
        <v>0</v>
      </c>
      <c r="B147" s="195" t="s">
        <v>1</v>
      </c>
      <c r="C147" s="196" t="s">
        <v>2</v>
      </c>
      <c r="D147" s="196" t="s">
        <v>3</v>
      </c>
      <c r="E147" s="196" t="s">
        <v>4</v>
      </c>
      <c r="F147" s="196" t="s">
        <v>642</v>
      </c>
      <c r="G147" s="196" t="s">
        <v>643</v>
      </c>
      <c r="H147" s="196" t="s">
        <v>7</v>
      </c>
      <c r="I147" s="196" t="s">
        <v>8</v>
      </c>
      <c r="J147" s="196" t="s">
        <v>9</v>
      </c>
      <c r="K147" s="197" t="s">
        <v>10</v>
      </c>
      <c r="L147" s="197" t="s">
        <v>644</v>
      </c>
      <c r="M147" s="198" t="s">
        <v>645</v>
      </c>
      <c r="N147" s="196" t="s">
        <v>13</v>
      </c>
      <c r="O147" s="199" t="s">
        <v>14</v>
      </c>
      <c r="P147" s="200" t="s">
        <v>646</v>
      </c>
      <c r="Q147" s="197" t="s">
        <v>647</v>
      </c>
      <c r="R147" s="196" t="s">
        <v>16</v>
      </c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  <c r="AQ147" s="201"/>
      <c r="AR147" s="201"/>
      <c r="AS147" s="201"/>
      <c r="AT147" s="201"/>
      <c r="AU147" s="201"/>
      <c r="AV147" s="201"/>
      <c r="AW147" s="201"/>
      <c r="AX147" s="201"/>
      <c r="AY147" s="201"/>
      <c r="AZ147" s="201"/>
      <c r="BA147" s="201"/>
      <c r="BB147" s="201"/>
      <c r="BC147" s="201"/>
      <c r="BD147" s="201"/>
    </row>
    <row r="148">
      <c r="A148" s="203" t="s">
        <v>376</v>
      </c>
      <c r="B148" s="204" t="s">
        <v>370</v>
      </c>
      <c r="C148" s="204" t="s">
        <v>750</v>
      </c>
      <c r="D148" s="204" t="s">
        <v>773</v>
      </c>
      <c r="E148" s="185" t="s">
        <v>634</v>
      </c>
      <c r="F148" s="241">
        <v>6.26048043E8</v>
      </c>
      <c r="G148" s="186"/>
      <c r="H148" s="112">
        <v>1250.0</v>
      </c>
      <c r="I148" s="20" t="s">
        <v>511</v>
      </c>
      <c r="J148" s="185" t="s">
        <v>141</v>
      </c>
      <c r="K148" s="185">
        <v>8.285997574E9</v>
      </c>
      <c r="L148" s="217">
        <v>3000.0</v>
      </c>
      <c r="M148" s="186"/>
      <c r="N148" s="186"/>
      <c r="O148" s="186"/>
      <c r="P148" s="186"/>
      <c r="Q148" s="216">
        <v>500.0</v>
      </c>
      <c r="R148" s="203" t="s">
        <v>671</v>
      </c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2"/>
      <c r="AZ148" s="2"/>
      <c r="BA148" s="2"/>
      <c r="BB148" s="2"/>
      <c r="BC148" s="2"/>
      <c r="BD148" s="2"/>
    </row>
    <row r="149">
      <c r="A149" s="209" t="s">
        <v>376</v>
      </c>
      <c r="B149" s="202" t="s">
        <v>370</v>
      </c>
      <c r="C149" s="209" t="s">
        <v>735</v>
      </c>
      <c r="D149" s="209" t="s">
        <v>736</v>
      </c>
      <c r="E149" s="154" t="s">
        <v>634</v>
      </c>
      <c r="F149" s="241">
        <v>6.26048044E8</v>
      </c>
      <c r="G149" s="175"/>
      <c r="H149" s="202">
        <v>1196.0</v>
      </c>
      <c r="I149" s="47" t="s">
        <v>774</v>
      </c>
      <c r="J149" s="202" t="s">
        <v>775</v>
      </c>
      <c r="K149" s="202">
        <v>9.990236133E9</v>
      </c>
      <c r="L149" s="242">
        <v>2700.0</v>
      </c>
      <c r="M149" s="175"/>
      <c r="N149" s="175"/>
      <c r="O149" s="175"/>
      <c r="P149" s="175"/>
      <c r="Q149" s="220">
        <v>500.0</v>
      </c>
      <c r="R149" s="209" t="s">
        <v>671</v>
      </c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  <c r="AQ149" s="175"/>
      <c r="AR149" s="175"/>
      <c r="AS149" s="175"/>
      <c r="AT149" s="175"/>
      <c r="AU149" s="175"/>
      <c r="AV149" s="175"/>
      <c r="AW149" s="175"/>
      <c r="AX149" s="175"/>
      <c r="AY149" s="2"/>
      <c r="AZ149" s="2"/>
      <c r="BA149" s="2"/>
      <c r="BB149" s="2"/>
      <c r="BC149" s="2"/>
      <c r="BD149" s="2"/>
    </row>
    <row r="150">
      <c r="A150" s="203"/>
      <c r="B150" s="203"/>
      <c r="C150" s="203"/>
      <c r="D150" s="203"/>
      <c r="E150" s="216"/>
      <c r="F150" s="203"/>
      <c r="I150" s="215"/>
      <c r="J150" s="186"/>
      <c r="K150" s="186"/>
      <c r="L150" s="203"/>
      <c r="N150" s="186"/>
      <c r="O150" s="186"/>
      <c r="P150" s="186"/>
      <c r="Q150" s="203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2"/>
      <c r="AZ150" s="2"/>
      <c r="BA150" s="2"/>
      <c r="BB150" s="2"/>
      <c r="BC150" s="2"/>
      <c r="BD150" s="2"/>
    </row>
    <row r="151">
      <c r="A151" s="209"/>
      <c r="B151" s="209"/>
      <c r="C151" s="209"/>
      <c r="D151" s="209"/>
      <c r="E151" s="220"/>
      <c r="F151" s="209"/>
      <c r="I151" s="211"/>
      <c r="J151" s="175"/>
      <c r="K151" s="175"/>
      <c r="L151" s="224">
        <f>SUM(L148:L150)</f>
        <v>5700</v>
      </c>
      <c r="N151" s="175"/>
      <c r="O151" s="175"/>
      <c r="P151" s="175"/>
      <c r="Q151" s="209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  <c r="AT151" s="175"/>
      <c r="AU151" s="175"/>
      <c r="AV151" s="175"/>
      <c r="AW151" s="175"/>
      <c r="AX151" s="175"/>
      <c r="AY151" s="2"/>
      <c r="AZ151" s="2"/>
      <c r="BA151" s="2"/>
      <c r="BB151" s="2"/>
      <c r="BC151" s="2"/>
      <c r="BD151" s="2"/>
    </row>
    <row r="152">
      <c r="A152" s="240" t="s">
        <v>385</v>
      </c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9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2"/>
      <c r="AZ152" s="2"/>
      <c r="BA152" s="2"/>
      <c r="BB152" s="2"/>
      <c r="BC152" s="2"/>
      <c r="BD152" s="2"/>
    </row>
    <row r="153" ht="42.0" customHeight="1">
      <c r="A153" s="195" t="s">
        <v>0</v>
      </c>
      <c r="B153" s="195" t="s">
        <v>1</v>
      </c>
      <c r="C153" s="196" t="s">
        <v>2</v>
      </c>
      <c r="D153" s="196" t="s">
        <v>3</v>
      </c>
      <c r="E153" s="196" t="s">
        <v>4</v>
      </c>
      <c r="F153" s="196" t="s">
        <v>642</v>
      </c>
      <c r="G153" s="196" t="s">
        <v>643</v>
      </c>
      <c r="H153" s="196" t="s">
        <v>7</v>
      </c>
      <c r="I153" s="196" t="s">
        <v>8</v>
      </c>
      <c r="J153" s="196" t="s">
        <v>9</v>
      </c>
      <c r="K153" s="197" t="s">
        <v>10</v>
      </c>
      <c r="L153" s="197" t="s">
        <v>644</v>
      </c>
      <c r="M153" s="198" t="s">
        <v>645</v>
      </c>
      <c r="N153" s="196" t="s">
        <v>13</v>
      </c>
      <c r="O153" s="199" t="s">
        <v>14</v>
      </c>
      <c r="P153" s="200" t="s">
        <v>646</v>
      </c>
      <c r="Q153" s="197" t="s">
        <v>647</v>
      </c>
      <c r="R153" s="196" t="s">
        <v>16</v>
      </c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201"/>
      <c r="AU153" s="201"/>
      <c r="AV153" s="201"/>
      <c r="AW153" s="201"/>
      <c r="AX153" s="201"/>
      <c r="AY153" s="201"/>
      <c r="AZ153" s="201"/>
      <c r="BA153" s="201"/>
      <c r="BB153" s="201"/>
      <c r="BC153" s="201"/>
      <c r="BD153" s="201"/>
    </row>
    <row r="154">
      <c r="A154" s="216" t="s">
        <v>385</v>
      </c>
      <c r="B154" s="203" t="s">
        <v>376</v>
      </c>
      <c r="C154" s="203" t="s">
        <v>776</v>
      </c>
      <c r="D154" s="216" t="s">
        <v>777</v>
      </c>
      <c r="E154" s="185" t="s">
        <v>634</v>
      </c>
      <c r="F154" s="98">
        <v>6.26048049E8</v>
      </c>
      <c r="G154" s="203"/>
      <c r="H154" s="114">
        <v>6672.0</v>
      </c>
      <c r="I154" s="47" t="s">
        <v>124</v>
      </c>
      <c r="J154" s="185" t="s">
        <v>56</v>
      </c>
      <c r="K154" s="204">
        <v>7.290982776E9</v>
      </c>
      <c r="L154" s="216">
        <v>3000.0</v>
      </c>
      <c r="N154" s="186"/>
      <c r="O154" s="186"/>
      <c r="P154" s="186"/>
      <c r="Q154" s="203">
        <v>500.0</v>
      </c>
      <c r="R154" s="203" t="s">
        <v>671</v>
      </c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2"/>
      <c r="AZ154" s="2"/>
      <c r="BA154" s="2"/>
      <c r="BB154" s="2"/>
      <c r="BC154" s="2"/>
      <c r="BD154" s="2"/>
    </row>
    <row r="155">
      <c r="A155" s="220" t="s">
        <v>385</v>
      </c>
      <c r="B155" s="209" t="s">
        <v>376</v>
      </c>
      <c r="C155" s="209" t="s">
        <v>778</v>
      </c>
      <c r="D155" s="209" t="s">
        <v>779</v>
      </c>
      <c r="E155" s="220" t="s">
        <v>135</v>
      </c>
      <c r="F155" s="98">
        <v>6.26048045E8</v>
      </c>
      <c r="G155" s="209">
        <v>1.0</v>
      </c>
      <c r="H155" s="111" t="s">
        <v>780</v>
      </c>
      <c r="I155" s="74" t="s">
        <v>781</v>
      </c>
      <c r="J155" s="202" t="s">
        <v>41</v>
      </c>
      <c r="K155" s="202">
        <v>9.518012492E9</v>
      </c>
      <c r="L155" s="209">
        <v>3600.0</v>
      </c>
      <c r="N155" s="175"/>
      <c r="O155" s="175"/>
      <c r="P155" s="175"/>
      <c r="Q155" s="209">
        <v>300.0</v>
      </c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  <c r="AQ155" s="175"/>
      <c r="AR155" s="175"/>
      <c r="AS155" s="175"/>
      <c r="AT155" s="175"/>
      <c r="AU155" s="175"/>
      <c r="AV155" s="175"/>
      <c r="AW155" s="175"/>
      <c r="AX155" s="175"/>
      <c r="AY155" s="2"/>
      <c r="AZ155" s="2"/>
      <c r="BA155" s="2"/>
      <c r="BB155" s="2"/>
      <c r="BC155" s="2"/>
      <c r="BD155" s="2"/>
    </row>
    <row r="156">
      <c r="A156" s="216" t="s">
        <v>385</v>
      </c>
      <c r="B156" s="203" t="s">
        <v>376</v>
      </c>
      <c r="C156" s="203" t="s">
        <v>778</v>
      </c>
      <c r="D156" s="203" t="s">
        <v>779</v>
      </c>
      <c r="E156" s="216" t="s">
        <v>135</v>
      </c>
      <c r="F156" s="241">
        <v>6.26048048E8</v>
      </c>
      <c r="G156" s="203">
        <v>1.0</v>
      </c>
      <c r="H156" s="111" t="s">
        <v>780</v>
      </c>
      <c r="I156" s="74" t="s">
        <v>781</v>
      </c>
      <c r="J156" s="204" t="s">
        <v>41</v>
      </c>
      <c r="K156" s="204">
        <v>9.518012492E9</v>
      </c>
      <c r="L156" s="217">
        <v>3600.0</v>
      </c>
      <c r="M156" s="186"/>
      <c r="N156" s="186"/>
      <c r="O156" s="186"/>
      <c r="P156" s="186"/>
      <c r="Q156" s="204">
        <v>300.0</v>
      </c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2"/>
      <c r="AZ156" s="2"/>
      <c r="BA156" s="2"/>
      <c r="BB156" s="2"/>
      <c r="BC156" s="2"/>
      <c r="BD156" s="2"/>
    </row>
    <row r="157">
      <c r="A157" s="220" t="s">
        <v>385</v>
      </c>
      <c r="B157" s="209" t="s">
        <v>376</v>
      </c>
      <c r="C157" s="209" t="s">
        <v>782</v>
      </c>
      <c r="D157" s="209" t="s">
        <v>783</v>
      </c>
      <c r="E157" s="220" t="s">
        <v>135</v>
      </c>
      <c r="F157" s="98">
        <v>6.26048047E8</v>
      </c>
      <c r="G157" s="209">
        <v>2.0</v>
      </c>
      <c r="H157" s="111" t="s">
        <v>784</v>
      </c>
      <c r="I157" s="74" t="s">
        <v>781</v>
      </c>
      <c r="J157" s="202" t="s">
        <v>41</v>
      </c>
      <c r="K157" s="202">
        <v>9.518012492E9</v>
      </c>
      <c r="L157" s="209">
        <v>3600.0</v>
      </c>
      <c r="N157" s="175"/>
      <c r="O157" s="175"/>
      <c r="P157" s="175"/>
      <c r="Q157" s="209">
        <v>300.0</v>
      </c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  <c r="AU157" s="175"/>
      <c r="AV157" s="175"/>
      <c r="AW157" s="175"/>
      <c r="AX157" s="175"/>
      <c r="AY157" s="2"/>
      <c r="AZ157" s="2"/>
      <c r="BA157" s="2"/>
      <c r="BB157" s="2"/>
      <c r="BC157" s="2"/>
      <c r="BD157" s="2"/>
    </row>
    <row r="158">
      <c r="A158" s="216" t="s">
        <v>385</v>
      </c>
      <c r="B158" s="203" t="s">
        <v>376</v>
      </c>
      <c r="C158" s="203" t="s">
        <v>782</v>
      </c>
      <c r="D158" s="203" t="s">
        <v>783</v>
      </c>
      <c r="E158" s="216" t="s">
        <v>135</v>
      </c>
      <c r="F158" s="98">
        <v>6.26048046E8</v>
      </c>
      <c r="G158" s="203">
        <v>2.0</v>
      </c>
      <c r="H158" s="111" t="s">
        <v>784</v>
      </c>
      <c r="I158" s="74" t="s">
        <v>781</v>
      </c>
      <c r="J158" s="204" t="s">
        <v>41</v>
      </c>
      <c r="K158" s="204">
        <v>9.518012492E9</v>
      </c>
      <c r="L158" s="203">
        <v>3690.0</v>
      </c>
      <c r="N158" s="186"/>
      <c r="O158" s="186"/>
      <c r="P158" s="186"/>
      <c r="Q158" s="203">
        <v>310.0</v>
      </c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2"/>
      <c r="AZ158" s="2"/>
      <c r="BA158" s="2"/>
      <c r="BB158" s="2"/>
      <c r="BC158" s="2"/>
      <c r="BD158" s="2"/>
    </row>
    <row r="159">
      <c r="A159" s="220" t="s">
        <v>385</v>
      </c>
      <c r="B159" s="220" t="s">
        <v>385</v>
      </c>
      <c r="C159" s="209" t="s">
        <v>776</v>
      </c>
      <c r="D159" s="220" t="s">
        <v>777</v>
      </c>
      <c r="E159" s="154" t="s">
        <v>634</v>
      </c>
      <c r="F159" s="241">
        <v>6.26048058E8</v>
      </c>
      <c r="G159" s="175"/>
      <c r="H159" s="111">
        <v>6675.0</v>
      </c>
      <c r="I159" s="47" t="s">
        <v>360</v>
      </c>
      <c r="J159" s="154" t="s">
        <v>56</v>
      </c>
      <c r="K159" s="202">
        <v>7.355962044E9</v>
      </c>
      <c r="L159" s="242">
        <v>2700.0</v>
      </c>
      <c r="M159" s="175"/>
      <c r="N159" s="175"/>
      <c r="O159" s="175"/>
      <c r="P159" s="175"/>
      <c r="Q159" s="202">
        <v>500.0</v>
      </c>
      <c r="R159" s="209" t="s">
        <v>671</v>
      </c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  <c r="AQ159" s="175"/>
      <c r="AR159" s="175"/>
      <c r="AS159" s="175"/>
      <c r="AT159" s="175"/>
      <c r="AU159" s="175"/>
      <c r="AV159" s="175"/>
      <c r="AW159" s="175"/>
      <c r="AX159" s="175"/>
      <c r="AY159" s="2"/>
      <c r="AZ159" s="2"/>
      <c r="BA159" s="2"/>
      <c r="BB159" s="2"/>
      <c r="BC159" s="2"/>
      <c r="BD159" s="2"/>
    </row>
    <row r="160">
      <c r="A160" s="216" t="s">
        <v>385</v>
      </c>
      <c r="B160" s="216" t="s">
        <v>385</v>
      </c>
      <c r="C160" s="216" t="s">
        <v>398</v>
      </c>
      <c r="D160" s="216" t="s">
        <v>399</v>
      </c>
      <c r="E160" s="216" t="s">
        <v>317</v>
      </c>
      <c r="F160" s="85">
        <v>6.26048053E8</v>
      </c>
      <c r="G160" s="216"/>
      <c r="H160" s="114" t="s">
        <v>75</v>
      </c>
      <c r="I160" s="74" t="s">
        <v>208</v>
      </c>
      <c r="J160" s="215" t="s">
        <v>31</v>
      </c>
      <c r="K160" s="216">
        <v>9.781016497E9</v>
      </c>
      <c r="L160" s="238">
        <v>60.0</v>
      </c>
      <c r="N160" s="215"/>
      <c r="O160" s="215"/>
      <c r="P160" s="215"/>
      <c r="Q160" s="203"/>
      <c r="R160" s="203"/>
      <c r="S160" s="203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7"/>
      <c r="AZ160" s="7"/>
      <c r="BA160" s="7"/>
      <c r="BB160" s="7"/>
      <c r="BC160" s="7"/>
      <c r="BD160" s="7"/>
    </row>
    <row r="161">
      <c r="A161" s="220" t="s">
        <v>385</v>
      </c>
      <c r="B161" s="209" t="s">
        <v>376</v>
      </c>
      <c r="C161" s="209" t="s">
        <v>18</v>
      </c>
      <c r="D161" s="209" t="s">
        <v>146</v>
      </c>
      <c r="E161" s="220" t="s">
        <v>20</v>
      </c>
      <c r="F161" s="100">
        <v>6.26048051E8</v>
      </c>
      <c r="G161" s="220">
        <v>6.04260116E8</v>
      </c>
      <c r="H161" s="111">
        <v>1765.0</v>
      </c>
      <c r="I161" s="74" t="s">
        <v>407</v>
      </c>
      <c r="J161" s="220" t="s">
        <v>408</v>
      </c>
      <c r="K161" s="220">
        <v>6.266563086E9</v>
      </c>
      <c r="L161" s="219">
        <v>600.0</v>
      </c>
      <c r="N161" s="211"/>
      <c r="O161" s="211"/>
      <c r="P161" s="211"/>
      <c r="Q161" s="209" t="s">
        <v>224</v>
      </c>
      <c r="R161" s="209"/>
      <c r="S161" s="209" t="s">
        <v>409</v>
      </c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  <c r="AQ161" s="175"/>
      <c r="AR161" s="175"/>
      <c r="AS161" s="175"/>
      <c r="AT161" s="175"/>
      <c r="AU161" s="175"/>
      <c r="AV161" s="175"/>
      <c r="AW161" s="175"/>
      <c r="AX161" s="175"/>
      <c r="AY161" s="7"/>
      <c r="AZ161" s="7"/>
      <c r="BA161" s="7"/>
      <c r="BB161" s="7"/>
      <c r="BC161" s="7"/>
      <c r="BD161" s="7"/>
    </row>
    <row r="162">
      <c r="A162" s="216" t="s">
        <v>385</v>
      </c>
      <c r="B162" s="216" t="s">
        <v>385</v>
      </c>
      <c r="C162" s="203" t="s">
        <v>778</v>
      </c>
      <c r="D162" s="203" t="s">
        <v>779</v>
      </c>
      <c r="E162" s="216" t="s">
        <v>135</v>
      </c>
      <c r="F162" s="216">
        <v>6.26048056E8</v>
      </c>
      <c r="H162" s="111" t="s">
        <v>29</v>
      </c>
      <c r="I162" s="74" t="s">
        <v>785</v>
      </c>
      <c r="J162" s="216" t="s">
        <v>786</v>
      </c>
      <c r="K162" s="216">
        <v>9.664152684E9</v>
      </c>
      <c r="L162" s="216">
        <v>6000.0</v>
      </c>
      <c r="Q162" s="216">
        <v>500.0</v>
      </c>
    </row>
    <row r="163">
      <c r="A163" s="220" t="s">
        <v>385</v>
      </c>
      <c r="B163" s="220" t="s">
        <v>385</v>
      </c>
      <c r="C163" s="209" t="s">
        <v>778</v>
      </c>
      <c r="D163" s="209" t="s">
        <v>779</v>
      </c>
      <c r="E163" s="220" t="s">
        <v>135</v>
      </c>
      <c r="F163" s="202">
        <v>6.26048059E8</v>
      </c>
      <c r="G163" s="175"/>
      <c r="H163" s="111" t="s">
        <v>75</v>
      </c>
      <c r="I163" s="74" t="s">
        <v>785</v>
      </c>
      <c r="J163" s="220" t="s">
        <v>786</v>
      </c>
      <c r="K163" s="220">
        <v>9.664152684E9</v>
      </c>
      <c r="L163" s="220">
        <v>6000.0</v>
      </c>
      <c r="M163" s="175"/>
      <c r="N163" s="175"/>
      <c r="O163" s="175"/>
      <c r="P163" s="175"/>
      <c r="Q163" s="202">
        <v>500.0</v>
      </c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5"/>
      <c r="AS163" s="175"/>
      <c r="AT163" s="175"/>
      <c r="AU163" s="175"/>
      <c r="AV163" s="175"/>
      <c r="AW163" s="175"/>
      <c r="AX163" s="175"/>
      <c r="AY163" s="2"/>
      <c r="AZ163" s="2"/>
      <c r="BA163" s="2"/>
      <c r="BB163" s="2"/>
      <c r="BC163" s="2"/>
      <c r="BD163" s="2"/>
    </row>
    <row r="164">
      <c r="A164" s="216" t="s">
        <v>385</v>
      </c>
      <c r="B164" s="216" t="s">
        <v>385</v>
      </c>
      <c r="C164" s="203" t="s">
        <v>778</v>
      </c>
      <c r="D164" s="203" t="s">
        <v>779</v>
      </c>
      <c r="E164" s="216" t="s">
        <v>135</v>
      </c>
      <c r="F164" s="204">
        <v>6.2604806E8</v>
      </c>
      <c r="G164" s="186"/>
      <c r="H164" s="111" t="s">
        <v>75</v>
      </c>
      <c r="I164" s="74" t="s">
        <v>785</v>
      </c>
      <c r="J164" s="216" t="s">
        <v>786</v>
      </c>
      <c r="K164" s="216">
        <v>9.664152684E9</v>
      </c>
      <c r="L164" s="216">
        <v>6000.0</v>
      </c>
      <c r="M164" s="186"/>
      <c r="N164" s="186"/>
      <c r="O164" s="186"/>
      <c r="P164" s="186"/>
      <c r="Q164" s="204">
        <v>500.0</v>
      </c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2"/>
      <c r="AZ164" s="2"/>
      <c r="BA164" s="2"/>
      <c r="BB164" s="2"/>
      <c r="BC164" s="2"/>
      <c r="BD164" s="2"/>
    </row>
    <row r="165">
      <c r="A165" s="220"/>
      <c r="B165" s="220"/>
      <c r="C165" s="154"/>
      <c r="D165" s="154"/>
      <c r="E165" s="154"/>
      <c r="F165" s="154"/>
      <c r="G165" s="175"/>
      <c r="H165" s="175"/>
      <c r="I165" s="175"/>
      <c r="J165" s="175"/>
      <c r="K165" s="175"/>
      <c r="L165" s="221"/>
      <c r="M165" s="175"/>
      <c r="N165" s="175"/>
      <c r="O165" s="175"/>
      <c r="P165" s="175"/>
      <c r="Q165" s="154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  <c r="AT165" s="175"/>
      <c r="AU165" s="175"/>
      <c r="AV165" s="175"/>
      <c r="AW165" s="175"/>
      <c r="AX165" s="175"/>
      <c r="AY165" s="2"/>
      <c r="AZ165" s="2"/>
      <c r="BA165" s="2"/>
      <c r="BB165" s="2"/>
      <c r="BC165" s="2"/>
      <c r="BD165" s="2"/>
    </row>
    <row r="166">
      <c r="A166" s="204"/>
      <c r="B166" s="185"/>
      <c r="C166" s="185"/>
      <c r="D166" s="185"/>
      <c r="E166" s="185"/>
      <c r="F166" s="185"/>
      <c r="G166" s="186"/>
      <c r="H166" s="186"/>
      <c r="I166" s="186"/>
      <c r="J166" s="186"/>
      <c r="K166" s="186"/>
      <c r="L166" s="243">
        <f>SUM(L154:L165)</f>
        <v>38850</v>
      </c>
      <c r="M166" s="186"/>
      <c r="N166" s="186"/>
      <c r="O166" s="186"/>
      <c r="P166" s="186"/>
      <c r="Q166" s="185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2"/>
      <c r="AZ166" s="2"/>
      <c r="BA166" s="2"/>
      <c r="BB166" s="2"/>
      <c r="BC166" s="2"/>
      <c r="BD166" s="2"/>
    </row>
    <row r="167">
      <c r="A167" s="240" t="s">
        <v>413</v>
      </c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6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  <c r="AT167" s="175"/>
      <c r="AU167" s="175"/>
      <c r="AV167" s="175"/>
      <c r="AW167" s="175"/>
      <c r="AX167" s="175"/>
      <c r="AY167" s="2"/>
      <c r="AZ167" s="2"/>
      <c r="BA167" s="2"/>
      <c r="BB167" s="2"/>
      <c r="BC167" s="2"/>
      <c r="BD167" s="2"/>
    </row>
    <row r="168" ht="42.0" customHeight="1">
      <c r="A168" s="195" t="s">
        <v>0</v>
      </c>
      <c r="B168" s="195" t="s">
        <v>1</v>
      </c>
      <c r="C168" s="196" t="s">
        <v>2</v>
      </c>
      <c r="D168" s="196" t="s">
        <v>3</v>
      </c>
      <c r="E168" s="196" t="s">
        <v>4</v>
      </c>
      <c r="F168" s="196" t="s">
        <v>642</v>
      </c>
      <c r="G168" s="196" t="s">
        <v>643</v>
      </c>
      <c r="H168" s="196" t="s">
        <v>7</v>
      </c>
      <c r="I168" s="196" t="s">
        <v>8</v>
      </c>
      <c r="J168" s="196" t="s">
        <v>9</v>
      </c>
      <c r="K168" s="197" t="s">
        <v>10</v>
      </c>
      <c r="L168" s="197" t="s">
        <v>644</v>
      </c>
      <c r="M168" s="198" t="s">
        <v>645</v>
      </c>
      <c r="N168" s="196" t="s">
        <v>13</v>
      </c>
      <c r="O168" s="199" t="s">
        <v>14</v>
      </c>
      <c r="P168" s="200" t="s">
        <v>646</v>
      </c>
      <c r="Q168" s="197" t="s">
        <v>647</v>
      </c>
      <c r="R168" s="196" t="s">
        <v>16</v>
      </c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  <c r="AQ168" s="201"/>
      <c r="AR168" s="201"/>
      <c r="AS168" s="201"/>
      <c r="AT168" s="201"/>
      <c r="AU168" s="201"/>
      <c r="AV168" s="201"/>
      <c r="AW168" s="201"/>
      <c r="AX168" s="201"/>
      <c r="AY168" s="201"/>
      <c r="AZ168" s="201"/>
      <c r="BA168" s="201"/>
      <c r="BB168" s="201"/>
      <c r="BC168" s="201"/>
      <c r="BD168" s="201"/>
    </row>
    <row r="169">
      <c r="A169" s="220" t="s">
        <v>413</v>
      </c>
      <c r="B169" s="220" t="s">
        <v>385</v>
      </c>
      <c r="C169" s="209" t="s">
        <v>776</v>
      </c>
      <c r="D169" s="220" t="s">
        <v>777</v>
      </c>
      <c r="E169" s="154" t="s">
        <v>634</v>
      </c>
      <c r="F169" s="100">
        <v>6.26048062E8</v>
      </c>
      <c r="H169" s="111">
        <v>6680.0</v>
      </c>
      <c r="I169" s="47" t="s">
        <v>360</v>
      </c>
      <c r="J169" s="154" t="s">
        <v>56</v>
      </c>
      <c r="K169" s="202">
        <v>7.355962044E9</v>
      </c>
      <c r="L169" s="220">
        <v>3000.0</v>
      </c>
      <c r="Q169" s="220">
        <v>250.0</v>
      </c>
    </row>
    <row r="170">
      <c r="A170" s="244" t="s">
        <v>413</v>
      </c>
      <c r="B170" s="244" t="s">
        <v>413</v>
      </c>
      <c r="C170" s="244" t="s">
        <v>787</v>
      </c>
      <c r="D170" s="244" t="s">
        <v>788</v>
      </c>
      <c r="E170" s="245" t="s">
        <v>634</v>
      </c>
      <c r="F170" s="246">
        <v>6.26048065E8</v>
      </c>
      <c r="G170" s="245"/>
      <c r="H170" s="247">
        <v>6681.0</v>
      </c>
      <c r="I170" s="248" t="s">
        <v>55</v>
      </c>
      <c r="J170" s="249" t="s">
        <v>56</v>
      </c>
      <c r="K170" s="250">
        <v>9.718858411E9</v>
      </c>
      <c r="L170" s="251">
        <v>12000.0</v>
      </c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5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245"/>
      <c r="AW170" s="245"/>
      <c r="AX170" s="245"/>
      <c r="AY170" s="252"/>
      <c r="AZ170" s="252"/>
      <c r="BA170" s="252"/>
      <c r="BB170" s="252"/>
      <c r="BC170" s="252"/>
      <c r="BD170" s="252"/>
    </row>
    <row r="171">
      <c r="A171" s="220" t="s">
        <v>413</v>
      </c>
      <c r="B171" s="220" t="s">
        <v>385</v>
      </c>
      <c r="C171" s="220" t="s">
        <v>789</v>
      </c>
      <c r="D171" s="220" t="s">
        <v>790</v>
      </c>
      <c r="E171" s="154" t="s">
        <v>634</v>
      </c>
      <c r="F171" s="100">
        <v>6.26048061E8</v>
      </c>
      <c r="G171" s="211"/>
      <c r="H171" s="111">
        <v>6676.0</v>
      </c>
      <c r="I171" s="47" t="s">
        <v>124</v>
      </c>
      <c r="J171" s="154" t="s">
        <v>56</v>
      </c>
      <c r="K171" s="202">
        <v>7.290982776E9</v>
      </c>
      <c r="L171" s="220">
        <v>3000.0</v>
      </c>
      <c r="M171" s="211"/>
      <c r="N171" s="211"/>
      <c r="O171" s="211"/>
      <c r="P171" s="211"/>
      <c r="Q171" s="220">
        <v>500.0</v>
      </c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  <c r="AW171" s="211"/>
      <c r="AX171" s="211"/>
      <c r="AY171" s="51"/>
      <c r="AZ171" s="51"/>
      <c r="BA171" s="51"/>
      <c r="BB171" s="51"/>
      <c r="BC171" s="51"/>
      <c r="BD171" s="51"/>
    </row>
    <row r="172">
      <c r="A172" s="216" t="s">
        <v>413</v>
      </c>
      <c r="B172" s="203" t="s">
        <v>376</v>
      </c>
      <c r="C172" s="203" t="s">
        <v>791</v>
      </c>
      <c r="D172" s="216" t="s">
        <v>792</v>
      </c>
      <c r="E172" s="185" t="s">
        <v>634</v>
      </c>
      <c r="F172" s="98">
        <v>6.2604805E8</v>
      </c>
      <c r="G172" s="203"/>
      <c r="H172" s="111">
        <v>6679.0</v>
      </c>
      <c r="I172" s="20" t="s">
        <v>114</v>
      </c>
      <c r="J172" s="185" t="s">
        <v>56</v>
      </c>
      <c r="K172" s="185">
        <v>9.956958533E9</v>
      </c>
      <c r="L172" s="203">
        <v>297.0</v>
      </c>
      <c r="N172" s="186"/>
      <c r="O172" s="186"/>
      <c r="P172" s="186"/>
      <c r="Q172" s="203">
        <v>33.0</v>
      </c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2"/>
      <c r="AZ172" s="2"/>
      <c r="BA172" s="2"/>
      <c r="BB172" s="2"/>
      <c r="BC172" s="2"/>
      <c r="BD172" s="2"/>
    </row>
    <row r="173">
      <c r="A173" s="220" t="s">
        <v>413</v>
      </c>
      <c r="B173" s="220" t="s">
        <v>385</v>
      </c>
      <c r="C173" s="209" t="s">
        <v>791</v>
      </c>
      <c r="D173" s="220" t="s">
        <v>792</v>
      </c>
      <c r="E173" s="154" t="s">
        <v>634</v>
      </c>
      <c r="F173" s="241">
        <v>6.26048052E8</v>
      </c>
      <c r="G173" s="175"/>
      <c r="H173" s="111">
        <v>6679.0</v>
      </c>
      <c r="I173" s="20" t="s">
        <v>114</v>
      </c>
      <c r="J173" s="154" t="s">
        <v>56</v>
      </c>
      <c r="K173" s="154">
        <v>9.956958533E9</v>
      </c>
      <c r="L173" s="242">
        <v>4800.0</v>
      </c>
      <c r="M173" s="175"/>
      <c r="N173" s="175"/>
      <c r="O173" s="175"/>
      <c r="P173" s="175"/>
      <c r="Q173" s="202">
        <v>650.0</v>
      </c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  <c r="AQ173" s="175"/>
      <c r="AR173" s="175"/>
      <c r="AS173" s="175"/>
      <c r="AT173" s="175"/>
      <c r="AU173" s="175"/>
      <c r="AV173" s="175"/>
      <c r="AW173" s="175"/>
      <c r="AX173" s="175"/>
      <c r="AY173" s="2"/>
      <c r="AZ173" s="2"/>
      <c r="BA173" s="2"/>
      <c r="BB173" s="2"/>
      <c r="BC173" s="2"/>
      <c r="BD173" s="2"/>
    </row>
    <row r="174">
      <c r="A174" s="216"/>
      <c r="B174" s="185"/>
      <c r="C174" s="185"/>
      <c r="D174" s="185"/>
      <c r="E174" s="185"/>
      <c r="F174" s="185"/>
      <c r="G174" s="186"/>
      <c r="H174" s="186"/>
      <c r="I174" s="186"/>
      <c r="J174" s="186"/>
      <c r="K174" s="186"/>
      <c r="L174" s="243"/>
      <c r="M174" s="186"/>
      <c r="N174" s="186"/>
      <c r="O174" s="186"/>
      <c r="P174" s="186"/>
      <c r="Q174" s="185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2"/>
      <c r="AZ174" s="2"/>
      <c r="BA174" s="2"/>
      <c r="BB174" s="2"/>
      <c r="BC174" s="2"/>
      <c r="BD174" s="2"/>
    </row>
    <row r="175">
      <c r="A175" s="220"/>
      <c r="B175" s="154"/>
      <c r="C175" s="154"/>
      <c r="D175" s="154"/>
      <c r="E175" s="154"/>
      <c r="F175" s="154"/>
      <c r="G175" s="175"/>
      <c r="H175" s="175"/>
      <c r="I175" s="175"/>
      <c r="J175" s="175"/>
      <c r="K175" s="175"/>
      <c r="L175" s="221">
        <f>SUM(L171:L174)</f>
        <v>8097</v>
      </c>
      <c r="M175" s="175"/>
      <c r="N175" s="175"/>
      <c r="O175" s="175"/>
      <c r="P175" s="175"/>
      <c r="Q175" s="154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  <c r="AU175" s="175"/>
      <c r="AV175" s="175"/>
      <c r="AW175" s="175"/>
      <c r="AX175" s="175"/>
      <c r="AY175" s="2"/>
      <c r="AZ175" s="2"/>
      <c r="BA175" s="2"/>
      <c r="BB175" s="2"/>
      <c r="BC175" s="2"/>
      <c r="BD175" s="2"/>
    </row>
    <row r="176">
      <c r="A176" s="240" t="s">
        <v>419</v>
      </c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9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2"/>
      <c r="AZ176" s="2"/>
      <c r="BA176" s="2"/>
      <c r="BB176" s="2"/>
      <c r="BC176" s="2"/>
      <c r="BD176" s="2"/>
    </row>
    <row r="177" ht="42.0" customHeight="1">
      <c r="A177" s="195" t="s">
        <v>0</v>
      </c>
      <c r="B177" s="195" t="s">
        <v>1</v>
      </c>
      <c r="C177" s="196" t="s">
        <v>2</v>
      </c>
      <c r="D177" s="196" t="s">
        <v>3</v>
      </c>
      <c r="E177" s="196" t="s">
        <v>4</v>
      </c>
      <c r="F177" s="196" t="s">
        <v>642</v>
      </c>
      <c r="G177" s="196" t="s">
        <v>643</v>
      </c>
      <c r="H177" s="196" t="s">
        <v>7</v>
      </c>
      <c r="I177" s="196" t="s">
        <v>8</v>
      </c>
      <c r="J177" s="196" t="s">
        <v>9</v>
      </c>
      <c r="K177" s="197" t="s">
        <v>10</v>
      </c>
      <c r="L177" s="197" t="s">
        <v>644</v>
      </c>
      <c r="M177" s="198" t="s">
        <v>645</v>
      </c>
      <c r="N177" s="196" t="s">
        <v>13</v>
      </c>
      <c r="O177" s="199" t="s">
        <v>14</v>
      </c>
      <c r="P177" s="200" t="s">
        <v>646</v>
      </c>
      <c r="Q177" s="197" t="s">
        <v>647</v>
      </c>
      <c r="R177" s="196" t="s">
        <v>16</v>
      </c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201"/>
    </row>
    <row r="178">
      <c r="A178" s="216" t="s">
        <v>419</v>
      </c>
      <c r="B178" s="203" t="s">
        <v>413</v>
      </c>
      <c r="C178" s="203" t="s">
        <v>793</v>
      </c>
      <c r="D178" s="203" t="s">
        <v>794</v>
      </c>
      <c r="E178" s="185" t="s">
        <v>634</v>
      </c>
      <c r="F178" s="98">
        <v>6.26048069E8</v>
      </c>
      <c r="H178" s="112">
        <v>6682.0</v>
      </c>
      <c r="I178" s="47" t="s">
        <v>360</v>
      </c>
      <c r="J178" s="185" t="s">
        <v>56</v>
      </c>
      <c r="K178" s="204">
        <v>7.355962044E9</v>
      </c>
      <c r="L178" s="203">
        <v>3000.0</v>
      </c>
      <c r="M178" s="186"/>
      <c r="N178" s="186"/>
      <c r="O178" s="186"/>
      <c r="P178" s="186"/>
      <c r="Q178" s="203">
        <v>500.0</v>
      </c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2"/>
      <c r="AZ178" s="2"/>
      <c r="BA178" s="2"/>
      <c r="BB178" s="2"/>
      <c r="BC178" s="2"/>
      <c r="BD178" s="2"/>
    </row>
    <row r="179">
      <c r="A179" s="220" t="s">
        <v>419</v>
      </c>
      <c r="B179" s="209" t="s">
        <v>413</v>
      </c>
      <c r="C179" s="209" t="s">
        <v>795</v>
      </c>
      <c r="D179" s="209" t="s">
        <v>796</v>
      </c>
      <c r="E179" s="154" t="s">
        <v>634</v>
      </c>
      <c r="F179" s="98">
        <v>6.26048072E8</v>
      </c>
      <c r="H179" s="112">
        <v>6683.0</v>
      </c>
      <c r="I179" s="47" t="s">
        <v>124</v>
      </c>
      <c r="J179" s="154" t="s">
        <v>56</v>
      </c>
      <c r="K179" s="202">
        <v>7.290982776E9</v>
      </c>
      <c r="L179" s="209">
        <v>3000.0</v>
      </c>
      <c r="M179" s="175"/>
      <c r="N179" s="175"/>
      <c r="O179" s="175"/>
      <c r="P179" s="175"/>
      <c r="Q179" s="209">
        <v>500.0</v>
      </c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  <c r="AT179" s="175"/>
      <c r="AU179" s="175"/>
      <c r="AV179" s="175"/>
      <c r="AW179" s="175"/>
      <c r="AX179" s="175"/>
      <c r="AY179" s="2"/>
      <c r="AZ179" s="2"/>
      <c r="BA179" s="2"/>
      <c r="BB179" s="2"/>
      <c r="BC179" s="2"/>
      <c r="BD179" s="2"/>
    </row>
    <row r="180">
      <c r="A180" s="216" t="s">
        <v>419</v>
      </c>
      <c r="B180" s="203" t="s">
        <v>413</v>
      </c>
      <c r="C180" s="203" t="s">
        <v>797</v>
      </c>
      <c r="D180" s="203" t="s">
        <v>798</v>
      </c>
      <c r="E180" s="185" t="s">
        <v>634</v>
      </c>
      <c r="F180" s="98">
        <v>6.26048068E8</v>
      </c>
      <c r="H180" s="111">
        <v>6684.0</v>
      </c>
      <c r="I180" s="20" t="s">
        <v>127</v>
      </c>
      <c r="J180" s="185" t="s">
        <v>56</v>
      </c>
      <c r="K180" s="185">
        <v>8.826871385E9</v>
      </c>
      <c r="L180" s="203">
        <v>4200.0</v>
      </c>
      <c r="Q180" s="203">
        <v>600.0</v>
      </c>
    </row>
    <row r="181">
      <c r="A181" s="220" t="s">
        <v>419</v>
      </c>
      <c r="B181" s="209" t="s">
        <v>413</v>
      </c>
      <c r="C181" s="209" t="s">
        <v>112</v>
      </c>
      <c r="D181" s="209" t="s">
        <v>422</v>
      </c>
      <c r="E181" s="154" t="s">
        <v>634</v>
      </c>
      <c r="F181" s="98">
        <v>6.26048071E8</v>
      </c>
      <c r="H181" s="112">
        <v>3141.0</v>
      </c>
      <c r="I181" s="20" t="s">
        <v>372</v>
      </c>
      <c r="J181" s="154" t="s">
        <v>373</v>
      </c>
      <c r="K181" s="154">
        <v>8.684015172E9</v>
      </c>
      <c r="L181" s="209">
        <v>600.0</v>
      </c>
      <c r="M181" s="175"/>
      <c r="N181" s="175"/>
      <c r="O181" s="175"/>
      <c r="P181" s="175"/>
      <c r="Q181" s="209">
        <v>50.0</v>
      </c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  <c r="AT181" s="175"/>
      <c r="AU181" s="175"/>
      <c r="AV181" s="175"/>
      <c r="AW181" s="175"/>
      <c r="AX181" s="175"/>
      <c r="AY181" s="2"/>
      <c r="AZ181" s="2"/>
      <c r="BA181" s="2"/>
      <c r="BB181" s="2"/>
      <c r="BC181" s="2"/>
      <c r="BD181" s="2"/>
    </row>
    <row r="182">
      <c r="A182" s="216" t="s">
        <v>419</v>
      </c>
      <c r="B182" s="203" t="s">
        <v>385</v>
      </c>
      <c r="C182" s="216" t="s">
        <v>420</v>
      </c>
      <c r="D182" s="203" t="s">
        <v>421</v>
      </c>
      <c r="E182" s="204" t="s">
        <v>634</v>
      </c>
      <c r="F182" s="241">
        <v>6.26048057E8</v>
      </c>
      <c r="G182" s="186"/>
      <c r="H182" s="112">
        <v>3143.0</v>
      </c>
      <c r="I182" s="20" t="s">
        <v>372</v>
      </c>
      <c r="J182" s="185" t="s">
        <v>373</v>
      </c>
      <c r="K182" s="185">
        <v>8.684015172E9</v>
      </c>
      <c r="L182" s="188">
        <f>480+32</f>
        <v>512</v>
      </c>
      <c r="M182" s="186"/>
      <c r="N182" s="186"/>
      <c r="O182" s="186"/>
      <c r="P182" s="186"/>
      <c r="Q182" s="185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2"/>
      <c r="AZ182" s="2"/>
      <c r="BA182" s="2"/>
      <c r="BB182" s="2"/>
      <c r="BC182" s="2"/>
      <c r="BD182" s="2"/>
    </row>
    <row r="183">
      <c r="A183" s="220" t="s">
        <v>419</v>
      </c>
      <c r="B183" s="209" t="s">
        <v>413</v>
      </c>
      <c r="C183" s="209" t="s">
        <v>799</v>
      </c>
      <c r="D183" s="209" t="s">
        <v>800</v>
      </c>
      <c r="E183" s="154" t="s">
        <v>634</v>
      </c>
      <c r="F183" s="98">
        <v>6.26048063E8</v>
      </c>
      <c r="H183" s="111">
        <v>6685.0</v>
      </c>
      <c r="I183" s="20" t="s">
        <v>114</v>
      </c>
      <c r="J183" s="154" t="s">
        <v>56</v>
      </c>
      <c r="K183" s="154">
        <v>9.956958533E9</v>
      </c>
      <c r="L183" s="209">
        <v>3000.0</v>
      </c>
      <c r="Q183" s="209">
        <v>350.0</v>
      </c>
    </row>
    <row r="184">
      <c r="A184" s="216" t="s">
        <v>419</v>
      </c>
      <c r="B184" s="203" t="s">
        <v>413</v>
      </c>
      <c r="C184" s="203" t="s">
        <v>801</v>
      </c>
      <c r="D184" s="203" t="s">
        <v>802</v>
      </c>
      <c r="E184" s="185" t="s">
        <v>634</v>
      </c>
      <c r="F184" s="98">
        <v>6.26048066E8</v>
      </c>
      <c r="H184" s="111">
        <v>6686.0</v>
      </c>
      <c r="I184" s="20" t="s">
        <v>114</v>
      </c>
      <c r="J184" s="185" t="s">
        <v>56</v>
      </c>
      <c r="K184" s="185">
        <v>9.956958533E9</v>
      </c>
      <c r="L184" s="203">
        <v>3240.0</v>
      </c>
      <c r="Q184" s="203">
        <v>270.0</v>
      </c>
    </row>
    <row r="185">
      <c r="A185" s="220" t="s">
        <v>419</v>
      </c>
      <c r="B185" s="209" t="s">
        <v>413</v>
      </c>
      <c r="C185" s="209" t="s">
        <v>735</v>
      </c>
      <c r="D185" s="209" t="s">
        <v>736</v>
      </c>
      <c r="E185" s="154" t="s">
        <v>634</v>
      </c>
      <c r="F185" s="98">
        <v>6.2604807E8</v>
      </c>
      <c r="H185" s="112">
        <v>1051.0</v>
      </c>
      <c r="I185" s="47" t="s">
        <v>803</v>
      </c>
      <c r="J185" s="154" t="s">
        <v>141</v>
      </c>
      <c r="K185" s="202">
        <v>8.882065568E9</v>
      </c>
      <c r="L185" s="209">
        <v>2760.0</v>
      </c>
      <c r="M185" s="175"/>
      <c r="N185" s="175"/>
      <c r="O185" s="175"/>
      <c r="P185" s="175"/>
      <c r="Q185" s="209">
        <v>280.0</v>
      </c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175"/>
      <c r="AP185" s="175"/>
      <c r="AQ185" s="175"/>
      <c r="AR185" s="175"/>
      <c r="AS185" s="175"/>
      <c r="AT185" s="175"/>
      <c r="AU185" s="175"/>
      <c r="AV185" s="175"/>
      <c r="AW185" s="175"/>
      <c r="AX185" s="175"/>
      <c r="AY185" s="2"/>
      <c r="AZ185" s="2"/>
      <c r="BA185" s="2"/>
      <c r="BB185" s="2"/>
      <c r="BC185" s="2"/>
      <c r="BD185" s="2"/>
    </row>
    <row r="186">
      <c r="A186" s="212"/>
      <c r="B186" s="185"/>
      <c r="C186" s="185"/>
      <c r="D186" s="185"/>
      <c r="E186" s="185"/>
      <c r="F186" s="185"/>
      <c r="G186" s="186"/>
      <c r="H186" s="186"/>
      <c r="I186" s="186"/>
      <c r="J186" s="186"/>
      <c r="K186" s="186"/>
      <c r="L186" s="188"/>
      <c r="M186" s="186"/>
      <c r="N186" s="186"/>
      <c r="O186" s="186"/>
      <c r="P186" s="186"/>
      <c r="Q186" s="185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2"/>
      <c r="AZ186" s="2"/>
      <c r="BA186" s="2"/>
      <c r="BB186" s="2"/>
      <c r="BC186" s="2"/>
      <c r="BD186" s="2"/>
    </row>
    <row r="187">
      <c r="A187" s="207"/>
      <c r="B187" s="154"/>
      <c r="C187" s="154"/>
      <c r="D187" s="154"/>
      <c r="E187" s="154"/>
      <c r="F187" s="154"/>
      <c r="G187" s="175"/>
      <c r="H187" s="175"/>
      <c r="I187" s="175"/>
      <c r="J187" s="175"/>
      <c r="K187" s="175"/>
      <c r="L187" s="205">
        <f>SUM(L178:L186)</f>
        <v>20312</v>
      </c>
      <c r="M187" s="175"/>
      <c r="N187" s="175"/>
      <c r="O187" s="175"/>
      <c r="P187" s="175"/>
      <c r="Q187" s="154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  <c r="AO187" s="175"/>
      <c r="AP187" s="175"/>
      <c r="AQ187" s="175"/>
      <c r="AR187" s="175"/>
      <c r="AS187" s="175"/>
      <c r="AT187" s="175"/>
      <c r="AU187" s="175"/>
      <c r="AV187" s="175"/>
      <c r="AW187" s="175"/>
      <c r="AX187" s="175"/>
      <c r="AY187" s="2"/>
      <c r="AZ187" s="2"/>
      <c r="BA187" s="2"/>
      <c r="BB187" s="2"/>
      <c r="BC187" s="2"/>
      <c r="BD187" s="2"/>
    </row>
    <row r="188">
      <c r="A188" s="212"/>
      <c r="B188" s="185"/>
      <c r="C188" s="185"/>
      <c r="D188" s="185"/>
      <c r="E188" s="185"/>
      <c r="F188" s="185"/>
      <c r="G188" s="186"/>
      <c r="H188" s="186"/>
      <c r="J188" s="186"/>
      <c r="K188" s="186"/>
      <c r="L188" s="188"/>
      <c r="M188" s="186"/>
      <c r="N188" s="186"/>
      <c r="O188" s="186"/>
      <c r="P188" s="186"/>
      <c r="Q188" s="185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2"/>
      <c r="AZ188" s="2"/>
      <c r="BA188" s="2"/>
      <c r="BB188" s="2"/>
      <c r="BC188" s="2"/>
      <c r="BD188" s="2"/>
    </row>
    <row r="189">
      <c r="A189" s="240" t="s">
        <v>428</v>
      </c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6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  <c r="AO189" s="175"/>
      <c r="AP189" s="175"/>
      <c r="AQ189" s="175"/>
      <c r="AR189" s="175"/>
      <c r="AS189" s="175"/>
      <c r="AT189" s="175"/>
      <c r="AU189" s="175"/>
      <c r="AV189" s="175"/>
      <c r="AW189" s="175"/>
      <c r="AX189" s="175"/>
      <c r="AY189" s="2"/>
      <c r="AZ189" s="2"/>
      <c r="BA189" s="2"/>
      <c r="BB189" s="2"/>
      <c r="BC189" s="2"/>
      <c r="BD189" s="2"/>
    </row>
    <row r="190" ht="42.0" customHeight="1">
      <c r="A190" s="195" t="s">
        <v>0</v>
      </c>
      <c r="B190" s="195" t="s">
        <v>1</v>
      </c>
      <c r="C190" s="196" t="s">
        <v>2</v>
      </c>
      <c r="D190" s="196" t="s">
        <v>3</v>
      </c>
      <c r="E190" s="196" t="s">
        <v>4</v>
      </c>
      <c r="F190" s="196" t="s">
        <v>642</v>
      </c>
      <c r="G190" s="196" t="s">
        <v>643</v>
      </c>
      <c r="H190" s="196" t="s">
        <v>7</v>
      </c>
      <c r="I190" s="196" t="s">
        <v>8</v>
      </c>
      <c r="J190" s="196" t="s">
        <v>9</v>
      </c>
      <c r="K190" s="197" t="s">
        <v>10</v>
      </c>
      <c r="L190" s="197" t="s">
        <v>644</v>
      </c>
      <c r="M190" s="198" t="s">
        <v>645</v>
      </c>
      <c r="N190" s="196" t="s">
        <v>13</v>
      </c>
      <c r="O190" s="199" t="s">
        <v>14</v>
      </c>
      <c r="P190" s="200" t="s">
        <v>646</v>
      </c>
      <c r="Q190" s="197" t="s">
        <v>647</v>
      </c>
      <c r="R190" s="196" t="s">
        <v>16</v>
      </c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  <c r="BA190" s="201"/>
      <c r="BB190" s="201"/>
      <c r="BC190" s="201"/>
      <c r="BD190" s="201"/>
    </row>
    <row r="191">
      <c r="A191" s="209" t="s">
        <v>428</v>
      </c>
      <c r="B191" s="209" t="s">
        <v>428</v>
      </c>
      <c r="C191" s="202" t="s">
        <v>804</v>
      </c>
      <c r="D191" s="202" t="s">
        <v>805</v>
      </c>
      <c r="E191" s="202" t="s">
        <v>634</v>
      </c>
      <c r="F191" s="241">
        <v>6.26048075E8</v>
      </c>
      <c r="G191" s="175"/>
      <c r="H191" s="202">
        <v>1052.0</v>
      </c>
      <c r="I191" s="50" t="s">
        <v>711</v>
      </c>
      <c r="J191" s="154" t="s">
        <v>141</v>
      </c>
      <c r="K191" s="202">
        <v>8.527548248E9</v>
      </c>
      <c r="L191" s="242">
        <v>3000.0</v>
      </c>
      <c r="M191" s="175"/>
      <c r="N191" s="175"/>
      <c r="O191" s="175"/>
      <c r="P191" s="175"/>
      <c r="Q191" s="154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  <c r="AO191" s="175"/>
      <c r="AP191" s="175"/>
      <c r="AQ191" s="175"/>
      <c r="AR191" s="175"/>
      <c r="AS191" s="175"/>
      <c r="AT191" s="175"/>
      <c r="AU191" s="175"/>
      <c r="AV191" s="175"/>
      <c r="AW191" s="175"/>
      <c r="AX191" s="175"/>
      <c r="AY191" s="2"/>
      <c r="AZ191" s="2"/>
      <c r="BA191" s="2"/>
      <c r="BB191" s="2"/>
      <c r="BC191" s="2"/>
      <c r="BD191" s="2"/>
    </row>
    <row r="192">
      <c r="A192" s="203" t="s">
        <v>428</v>
      </c>
      <c r="B192" s="203" t="s">
        <v>428</v>
      </c>
      <c r="C192" s="185" t="s">
        <v>729</v>
      </c>
      <c r="D192" s="185" t="s">
        <v>730</v>
      </c>
      <c r="E192" s="185" t="s">
        <v>634</v>
      </c>
      <c r="F192" s="241">
        <v>6.26048077E8</v>
      </c>
      <c r="G192" s="186"/>
      <c r="H192" s="204">
        <v>6689.0</v>
      </c>
      <c r="I192" s="50" t="s">
        <v>124</v>
      </c>
      <c r="J192" s="185" t="s">
        <v>56</v>
      </c>
      <c r="K192" s="204">
        <v>7.290982776E9</v>
      </c>
      <c r="L192" s="217">
        <v>3000.0</v>
      </c>
      <c r="M192" s="186"/>
      <c r="N192" s="186"/>
      <c r="O192" s="186"/>
      <c r="P192" s="186"/>
      <c r="Q192" s="185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2"/>
      <c r="AZ192" s="2"/>
      <c r="BA192" s="2"/>
      <c r="BB192" s="2"/>
      <c r="BC192" s="2"/>
      <c r="BD192" s="2"/>
    </row>
    <row r="193">
      <c r="A193" s="209" t="s">
        <v>428</v>
      </c>
      <c r="B193" s="209" t="s">
        <v>428</v>
      </c>
      <c r="C193" s="202" t="s">
        <v>691</v>
      </c>
      <c r="D193" s="202" t="s">
        <v>692</v>
      </c>
      <c r="E193" s="154" t="s">
        <v>634</v>
      </c>
      <c r="F193" s="241">
        <v>6.26048076E8</v>
      </c>
      <c r="G193" s="175"/>
      <c r="H193" s="202">
        <v>6688.0</v>
      </c>
      <c r="I193" s="52" t="s">
        <v>55</v>
      </c>
      <c r="J193" s="253" t="s">
        <v>56</v>
      </c>
      <c r="K193" s="254">
        <v>9.718858411E9</v>
      </c>
      <c r="L193" s="242">
        <v>12000.0</v>
      </c>
      <c r="M193" s="175"/>
      <c r="N193" s="175"/>
      <c r="O193" s="175"/>
      <c r="P193" s="175"/>
      <c r="Q193" s="154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  <c r="AO193" s="175"/>
      <c r="AP193" s="175"/>
      <c r="AQ193" s="175"/>
      <c r="AR193" s="175"/>
      <c r="AS193" s="175"/>
      <c r="AT193" s="175"/>
      <c r="AU193" s="175"/>
      <c r="AV193" s="175"/>
      <c r="AW193" s="175"/>
      <c r="AX193" s="175"/>
      <c r="AY193" s="2"/>
      <c r="AZ193" s="2"/>
      <c r="BA193" s="2"/>
      <c r="BB193" s="2"/>
      <c r="BC193" s="2"/>
      <c r="BD193" s="2"/>
    </row>
    <row r="194">
      <c r="A194" s="203" t="s">
        <v>428</v>
      </c>
      <c r="B194" s="203" t="s">
        <v>428</v>
      </c>
      <c r="C194" s="203" t="s">
        <v>763</v>
      </c>
      <c r="D194" s="203" t="s">
        <v>764</v>
      </c>
      <c r="E194" s="185" t="s">
        <v>634</v>
      </c>
      <c r="F194" s="241">
        <v>6.26048078E8</v>
      </c>
      <c r="G194" s="186"/>
      <c r="H194" s="204">
        <v>1053.0</v>
      </c>
      <c r="I194" s="52" t="s">
        <v>511</v>
      </c>
      <c r="J194" s="185" t="s">
        <v>141</v>
      </c>
      <c r="K194" s="185">
        <v>8.285997574E9</v>
      </c>
      <c r="L194" s="217">
        <v>3000.0</v>
      </c>
      <c r="M194" s="186"/>
      <c r="N194" s="186"/>
      <c r="O194" s="186"/>
      <c r="P194" s="186"/>
      <c r="Q194" s="185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2"/>
      <c r="AZ194" s="2"/>
      <c r="BA194" s="2"/>
      <c r="BB194" s="2"/>
      <c r="BC194" s="2"/>
      <c r="BD194" s="2"/>
    </row>
    <row r="195">
      <c r="A195" s="209" t="s">
        <v>428</v>
      </c>
      <c r="B195" s="209" t="s">
        <v>428</v>
      </c>
      <c r="C195" s="220" t="s">
        <v>750</v>
      </c>
      <c r="D195" s="220" t="s">
        <v>806</v>
      </c>
      <c r="E195" s="154" t="s">
        <v>634</v>
      </c>
      <c r="F195" s="241">
        <v>6.26048079E8</v>
      </c>
      <c r="G195" s="175"/>
      <c r="H195" s="202">
        <v>6690.0</v>
      </c>
      <c r="I195" s="50" t="s">
        <v>360</v>
      </c>
      <c r="J195" s="154" t="s">
        <v>56</v>
      </c>
      <c r="K195" s="202">
        <v>7.355962044E9</v>
      </c>
      <c r="L195" s="242">
        <v>3048.0</v>
      </c>
      <c r="M195" s="175"/>
      <c r="N195" s="175"/>
      <c r="O195" s="175"/>
      <c r="P195" s="175"/>
      <c r="Q195" s="154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  <c r="AQ195" s="175"/>
      <c r="AR195" s="175"/>
      <c r="AS195" s="175"/>
      <c r="AT195" s="175"/>
      <c r="AU195" s="175"/>
      <c r="AV195" s="175"/>
      <c r="AW195" s="175"/>
      <c r="AX195" s="175"/>
      <c r="AY195" s="2"/>
      <c r="AZ195" s="2"/>
      <c r="BA195" s="2"/>
      <c r="BB195" s="2"/>
      <c r="BC195" s="2"/>
      <c r="BD195" s="2"/>
    </row>
    <row r="196">
      <c r="A196" s="203" t="s">
        <v>428</v>
      </c>
      <c r="B196" s="203" t="s">
        <v>428</v>
      </c>
      <c r="C196" s="185" t="s">
        <v>702</v>
      </c>
      <c r="D196" s="185" t="s">
        <v>703</v>
      </c>
      <c r="E196" s="185" t="s">
        <v>634</v>
      </c>
      <c r="F196" s="100">
        <v>6.26048082E8</v>
      </c>
      <c r="G196" s="186"/>
      <c r="H196" s="204">
        <v>6691.0</v>
      </c>
      <c r="I196" s="52" t="s">
        <v>114</v>
      </c>
      <c r="J196" s="185" t="s">
        <v>56</v>
      </c>
      <c r="K196" s="185">
        <v>9.956958533E9</v>
      </c>
      <c r="L196" s="217">
        <v>6216.0</v>
      </c>
      <c r="M196" s="186"/>
      <c r="N196" s="186"/>
      <c r="O196" s="186"/>
      <c r="P196" s="186"/>
      <c r="Q196" s="185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2"/>
      <c r="AZ196" s="2"/>
      <c r="BA196" s="2"/>
      <c r="BB196" s="2"/>
      <c r="BC196" s="2"/>
      <c r="BD196" s="2"/>
    </row>
    <row r="197">
      <c r="E197" s="154"/>
      <c r="F197" s="154"/>
      <c r="G197" s="175"/>
      <c r="L197" s="183"/>
      <c r="M197" s="175"/>
      <c r="N197" s="175"/>
      <c r="O197" s="175"/>
      <c r="P197" s="175"/>
      <c r="Q197" s="154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  <c r="AO197" s="175"/>
      <c r="AP197" s="175"/>
      <c r="AQ197" s="175"/>
      <c r="AR197" s="175"/>
      <c r="AS197" s="175"/>
      <c r="AT197" s="175"/>
      <c r="AU197" s="175"/>
      <c r="AV197" s="175"/>
      <c r="AW197" s="175"/>
      <c r="AX197" s="175"/>
      <c r="AY197" s="2"/>
      <c r="AZ197" s="2"/>
      <c r="BA197" s="2"/>
      <c r="BB197" s="2"/>
      <c r="BC197" s="2"/>
      <c r="BD197" s="2"/>
    </row>
    <row r="198">
      <c r="A198" s="212"/>
      <c r="B198" s="185"/>
      <c r="C198" s="185"/>
      <c r="D198" s="185"/>
      <c r="E198" s="185"/>
      <c r="F198" s="185"/>
      <c r="G198" s="186"/>
      <c r="H198" s="186"/>
      <c r="I198" s="186"/>
      <c r="J198" s="186"/>
      <c r="K198" s="186"/>
      <c r="L198" s="222">
        <f>SUM(L191:L197)</f>
        <v>30264</v>
      </c>
      <c r="M198" s="186"/>
      <c r="N198" s="186"/>
      <c r="O198" s="186"/>
      <c r="P198" s="186"/>
      <c r="Q198" s="185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2"/>
      <c r="AZ198" s="2"/>
      <c r="BA198" s="2"/>
      <c r="BB198" s="2"/>
      <c r="BC198" s="2"/>
      <c r="BD198" s="2"/>
    </row>
    <row r="199">
      <c r="A199" s="207"/>
      <c r="B199" s="154"/>
      <c r="C199" s="154"/>
      <c r="D199" s="154"/>
      <c r="E199" s="154"/>
      <c r="F199" s="154"/>
      <c r="G199" s="175"/>
      <c r="H199" s="175"/>
      <c r="I199" s="175"/>
      <c r="J199" s="175"/>
      <c r="K199" s="175"/>
      <c r="L199" s="183"/>
      <c r="M199" s="175"/>
      <c r="N199" s="175"/>
      <c r="O199" s="175"/>
      <c r="P199" s="175"/>
      <c r="Q199" s="154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  <c r="AQ199" s="175"/>
      <c r="AR199" s="175"/>
      <c r="AS199" s="175"/>
      <c r="AT199" s="175"/>
      <c r="AU199" s="175"/>
      <c r="AV199" s="175"/>
      <c r="AW199" s="175"/>
      <c r="AX199" s="175"/>
      <c r="AY199" s="2"/>
      <c r="AZ199" s="2"/>
      <c r="BA199" s="2"/>
      <c r="BB199" s="2"/>
      <c r="BC199" s="2"/>
      <c r="BD199" s="2"/>
    </row>
    <row r="200">
      <c r="A200" s="240" t="s">
        <v>430</v>
      </c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9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2"/>
      <c r="AZ200" s="2"/>
      <c r="BA200" s="2"/>
      <c r="BB200" s="2"/>
      <c r="BC200" s="2"/>
      <c r="BD200" s="2"/>
    </row>
    <row r="201" ht="42.0" customHeight="1">
      <c r="A201" s="195" t="s">
        <v>0</v>
      </c>
      <c r="B201" s="195" t="s">
        <v>1</v>
      </c>
      <c r="C201" s="196" t="s">
        <v>2</v>
      </c>
      <c r="D201" s="196" t="s">
        <v>3</v>
      </c>
      <c r="E201" s="196" t="s">
        <v>4</v>
      </c>
      <c r="F201" s="196" t="s">
        <v>642</v>
      </c>
      <c r="G201" s="196" t="s">
        <v>643</v>
      </c>
      <c r="H201" s="196" t="s">
        <v>7</v>
      </c>
      <c r="I201" s="196" t="s">
        <v>8</v>
      </c>
      <c r="J201" s="196" t="s">
        <v>9</v>
      </c>
      <c r="K201" s="197" t="s">
        <v>10</v>
      </c>
      <c r="L201" s="197" t="s">
        <v>644</v>
      </c>
      <c r="M201" s="198" t="s">
        <v>645</v>
      </c>
      <c r="N201" s="196" t="s">
        <v>13</v>
      </c>
      <c r="O201" s="199" t="s">
        <v>14</v>
      </c>
      <c r="P201" s="200" t="s">
        <v>646</v>
      </c>
      <c r="Q201" s="197" t="s">
        <v>647</v>
      </c>
      <c r="R201" s="196" t="s">
        <v>16</v>
      </c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  <c r="AP201" s="201"/>
      <c r="AQ201" s="201"/>
      <c r="AR201" s="201"/>
      <c r="AS201" s="201"/>
      <c r="AT201" s="201"/>
      <c r="AU201" s="201"/>
      <c r="AV201" s="201"/>
      <c r="AW201" s="201"/>
      <c r="AX201" s="201"/>
      <c r="AY201" s="201"/>
      <c r="AZ201" s="201"/>
      <c r="BA201" s="201"/>
      <c r="BB201" s="201"/>
      <c r="BC201" s="201"/>
      <c r="BD201" s="201"/>
    </row>
    <row r="202">
      <c r="A202" s="216" t="s">
        <v>430</v>
      </c>
      <c r="B202" s="203" t="s">
        <v>428</v>
      </c>
      <c r="C202" s="204" t="s">
        <v>807</v>
      </c>
      <c r="D202" s="204" t="s">
        <v>808</v>
      </c>
      <c r="E202" s="185" t="s">
        <v>634</v>
      </c>
      <c r="F202" s="241">
        <v>6.2604808E8</v>
      </c>
      <c r="G202" s="186"/>
      <c r="H202" s="185">
        <v>6692.0</v>
      </c>
      <c r="I202" s="20" t="s">
        <v>127</v>
      </c>
      <c r="J202" s="185" t="s">
        <v>56</v>
      </c>
      <c r="K202" s="185">
        <v>8.826871385E9</v>
      </c>
      <c r="L202" s="217">
        <v>6000.0</v>
      </c>
      <c r="M202" s="186"/>
      <c r="N202" s="186"/>
      <c r="O202" s="186"/>
      <c r="P202" s="186"/>
      <c r="Q202" s="185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2"/>
      <c r="AZ202" s="2"/>
      <c r="BA202" s="2"/>
      <c r="BB202" s="2"/>
      <c r="BC202" s="2"/>
      <c r="BD202" s="2"/>
    </row>
    <row r="203">
      <c r="A203" s="209" t="s">
        <v>428</v>
      </c>
      <c r="B203" s="209" t="s">
        <v>428</v>
      </c>
      <c r="C203" s="202" t="s">
        <v>431</v>
      </c>
      <c r="D203" s="202" t="s">
        <v>809</v>
      </c>
      <c r="E203" s="202" t="s">
        <v>317</v>
      </c>
      <c r="F203" s="202">
        <v>6.26048073E8</v>
      </c>
      <c r="G203" s="175"/>
      <c r="H203" s="202" t="s">
        <v>29</v>
      </c>
      <c r="I203" s="74" t="s">
        <v>433</v>
      </c>
      <c r="J203" s="202" t="s">
        <v>263</v>
      </c>
      <c r="K203" s="202">
        <v>9.805790499E9</v>
      </c>
      <c r="L203" s="242">
        <v>1680.0</v>
      </c>
      <c r="M203" s="175"/>
      <c r="N203" s="175"/>
      <c r="O203" s="175"/>
      <c r="P203" s="175"/>
      <c r="Q203" s="154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5"/>
      <c r="AQ203" s="175"/>
      <c r="AR203" s="175"/>
      <c r="AS203" s="175"/>
      <c r="AT203" s="175"/>
      <c r="AU203" s="175"/>
      <c r="AV203" s="175"/>
      <c r="AW203" s="175"/>
      <c r="AX203" s="175"/>
      <c r="AY203" s="2"/>
      <c r="AZ203" s="2"/>
      <c r="BA203" s="2"/>
      <c r="BB203" s="2"/>
      <c r="BC203" s="2"/>
      <c r="BD203" s="2"/>
    </row>
    <row r="204">
      <c r="A204" s="203" t="s">
        <v>428</v>
      </c>
      <c r="B204" s="203" t="s">
        <v>428</v>
      </c>
      <c r="C204" s="204" t="s">
        <v>810</v>
      </c>
      <c r="D204" s="204" t="s">
        <v>811</v>
      </c>
      <c r="E204" s="185" t="s">
        <v>634</v>
      </c>
      <c r="F204" s="241">
        <v>6.26048074E8</v>
      </c>
      <c r="G204" s="186"/>
      <c r="H204" s="204">
        <v>6695.0</v>
      </c>
      <c r="I204" s="50" t="s">
        <v>124</v>
      </c>
      <c r="J204" s="185" t="s">
        <v>56</v>
      </c>
      <c r="K204" s="204">
        <v>7.290982776E9</v>
      </c>
      <c r="L204" s="217">
        <v>2100.0</v>
      </c>
      <c r="M204" s="186"/>
      <c r="N204" s="186"/>
      <c r="O204" s="186"/>
      <c r="P204" s="186"/>
      <c r="Q204" s="185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2"/>
      <c r="AZ204" s="2"/>
      <c r="BA204" s="2"/>
      <c r="BB204" s="2"/>
      <c r="BC204" s="2"/>
      <c r="BD204" s="2"/>
    </row>
    <row r="205">
      <c r="A205" s="220" t="s">
        <v>430</v>
      </c>
      <c r="B205" s="220" t="s">
        <v>430</v>
      </c>
      <c r="C205" s="202" t="s">
        <v>807</v>
      </c>
      <c r="D205" s="202" t="s">
        <v>808</v>
      </c>
      <c r="E205" s="154" t="s">
        <v>634</v>
      </c>
      <c r="F205" s="241">
        <v>6.26048085E8</v>
      </c>
      <c r="G205" s="175"/>
      <c r="H205" s="202">
        <v>1054.0</v>
      </c>
      <c r="I205" s="74" t="s">
        <v>665</v>
      </c>
      <c r="J205" s="220" t="s">
        <v>141</v>
      </c>
      <c r="K205" s="220">
        <v>8.506009561E9</v>
      </c>
      <c r="L205" s="242">
        <v>3300.0</v>
      </c>
      <c r="M205" s="175"/>
      <c r="N205" s="175"/>
      <c r="O205" s="175"/>
      <c r="P205" s="175"/>
      <c r="Q205" s="154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  <c r="AO205" s="175"/>
      <c r="AP205" s="175"/>
      <c r="AQ205" s="175"/>
      <c r="AR205" s="175"/>
      <c r="AS205" s="175"/>
      <c r="AT205" s="175"/>
      <c r="AU205" s="175"/>
      <c r="AV205" s="175"/>
      <c r="AW205" s="175"/>
      <c r="AX205" s="175"/>
      <c r="AY205" s="2"/>
      <c r="AZ205" s="2"/>
      <c r="BA205" s="2"/>
      <c r="BB205" s="2"/>
      <c r="BC205" s="2"/>
      <c r="BD205" s="2"/>
    </row>
    <row r="206">
      <c r="A206" s="216" t="s">
        <v>430</v>
      </c>
      <c r="B206" s="216" t="s">
        <v>430</v>
      </c>
      <c r="C206" s="204" t="s">
        <v>807</v>
      </c>
      <c r="D206" s="204" t="s">
        <v>808</v>
      </c>
      <c r="E206" s="185" t="s">
        <v>634</v>
      </c>
      <c r="F206" s="241">
        <v>6.26048094E8</v>
      </c>
      <c r="G206" s="186"/>
      <c r="H206" s="204">
        <v>3144.0</v>
      </c>
      <c r="I206" s="20" t="s">
        <v>372</v>
      </c>
      <c r="J206" s="185" t="s">
        <v>373</v>
      </c>
      <c r="K206" s="185">
        <v>8.684015172E9</v>
      </c>
      <c r="L206" s="251">
        <v>3018.0</v>
      </c>
      <c r="M206" s="186"/>
      <c r="N206" s="186"/>
      <c r="O206" s="186"/>
      <c r="P206" s="186"/>
      <c r="Q206" s="185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2"/>
      <c r="AZ206" s="2"/>
      <c r="BA206" s="2"/>
      <c r="BB206" s="2"/>
      <c r="BC206" s="2"/>
      <c r="BD206" s="2"/>
    </row>
    <row r="207">
      <c r="A207" s="220" t="s">
        <v>430</v>
      </c>
      <c r="B207" s="220" t="s">
        <v>430</v>
      </c>
      <c r="C207" s="255" t="s">
        <v>812</v>
      </c>
      <c r="D207" s="255" t="s">
        <v>813</v>
      </c>
      <c r="E207" s="255" t="s">
        <v>634</v>
      </c>
      <c r="F207" s="241">
        <v>6.26048093E8</v>
      </c>
      <c r="G207" s="175"/>
      <c r="H207" s="202">
        <v>1055.0</v>
      </c>
      <c r="I207" s="52" t="s">
        <v>511</v>
      </c>
      <c r="J207" s="154" t="s">
        <v>141</v>
      </c>
      <c r="K207" s="154">
        <v>8.285997574E9</v>
      </c>
      <c r="L207" s="242">
        <v>3240.0</v>
      </c>
      <c r="M207" s="175"/>
      <c r="N207" s="175"/>
      <c r="O207" s="175"/>
      <c r="P207" s="175"/>
      <c r="Q207" s="154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  <c r="AO207" s="175"/>
      <c r="AP207" s="175"/>
      <c r="AQ207" s="175"/>
      <c r="AR207" s="175"/>
      <c r="AS207" s="175"/>
      <c r="AT207" s="175"/>
      <c r="AU207" s="175"/>
      <c r="AV207" s="175"/>
      <c r="AW207" s="175"/>
      <c r="AX207" s="175"/>
      <c r="AY207" s="2"/>
      <c r="AZ207" s="2"/>
      <c r="BA207" s="2"/>
      <c r="BB207" s="2"/>
      <c r="BC207" s="2"/>
      <c r="BD207" s="2"/>
    </row>
    <row r="208">
      <c r="A208" s="216" t="s">
        <v>448</v>
      </c>
      <c r="B208" s="203" t="s">
        <v>430</v>
      </c>
      <c r="C208" s="203" t="s">
        <v>778</v>
      </c>
      <c r="D208" s="216" t="s">
        <v>814</v>
      </c>
      <c r="E208" s="204" t="s">
        <v>135</v>
      </c>
      <c r="F208" s="203">
        <v>6.26048096E8</v>
      </c>
      <c r="I208" s="186"/>
      <c r="J208" s="186"/>
      <c r="K208" s="186"/>
      <c r="L208" s="238">
        <v>300.0</v>
      </c>
      <c r="M208" s="186"/>
      <c r="N208" s="186"/>
      <c r="O208" s="186"/>
      <c r="P208" s="186"/>
      <c r="Q208" s="203">
        <v>40.0</v>
      </c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2"/>
      <c r="AZ208" s="2"/>
      <c r="BA208" s="2"/>
      <c r="BB208" s="2"/>
      <c r="BC208" s="2"/>
      <c r="BD208" s="2"/>
    </row>
    <row r="209">
      <c r="G209" s="175"/>
      <c r="H209" s="175"/>
      <c r="I209" s="175"/>
      <c r="J209" s="175"/>
      <c r="K209" s="175"/>
      <c r="L209" s="256"/>
      <c r="M209" s="175"/>
      <c r="N209" s="175"/>
      <c r="O209" s="175"/>
      <c r="P209" s="175"/>
      <c r="Q209" s="154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  <c r="AO209" s="175"/>
      <c r="AP209" s="175"/>
      <c r="AQ209" s="175"/>
      <c r="AR209" s="175"/>
      <c r="AS209" s="175"/>
      <c r="AT209" s="175"/>
      <c r="AU209" s="175"/>
      <c r="AV209" s="175"/>
      <c r="AW209" s="175"/>
      <c r="AX209" s="175"/>
      <c r="AY209" s="2"/>
      <c r="AZ209" s="2"/>
      <c r="BA209" s="2"/>
      <c r="BB209" s="2"/>
      <c r="BC209" s="2"/>
      <c r="BD209" s="2"/>
    </row>
    <row r="210">
      <c r="A210" s="203"/>
      <c r="B210" s="203"/>
      <c r="C210" s="204"/>
      <c r="D210" s="204"/>
      <c r="E210" s="204"/>
      <c r="F210" s="204"/>
      <c r="G210" s="186"/>
      <c r="H210" s="186"/>
      <c r="I210" s="186"/>
      <c r="J210" s="186"/>
      <c r="K210" s="186"/>
      <c r="L210" s="257">
        <f>SUM(L202:L209)</f>
        <v>19638</v>
      </c>
      <c r="M210" s="186"/>
      <c r="N210" s="186"/>
      <c r="O210" s="186"/>
      <c r="P210" s="186"/>
      <c r="Q210" s="185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2"/>
      <c r="AZ210" s="2"/>
      <c r="BA210" s="2"/>
      <c r="BB210" s="2"/>
      <c r="BC210" s="2"/>
      <c r="BD210" s="2"/>
    </row>
    <row r="211">
      <c r="A211" s="258"/>
      <c r="B211" s="258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6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  <c r="AO211" s="175"/>
      <c r="AP211" s="175"/>
      <c r="AQ211" s="175"/>
      <c r="AR211" s="175"/>
      <c r="AS211" s="175"/>
      <c r="AT211" s="175"/>
      <c r="AU211" s="175"/>
      <c r="AV211" s="175"/>
      <c r="AW211" s="175"/>
      <c r="AX211" s="175"/>
      <c r="AY211" s="2"/>
      <c r="AZ211" s="2"/>
      <c r="BA211" s="2"/>
      <c r="BB211" s="2"/>
      <c r="BC211" s="2"/>
      <c r="BD211" s="2"/>
    </row>
    <row r="212">
      <c r="A212" s="240" t="s">
        <v>448</v>
      </c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9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2"/>
      <c r="AZ212" s="2"/>
      <c r="BA212" s="2"/>
      <c r="BB212" s="2"/>
      <c r="BC212" s="2"/>
      <c r="BD212" s="2"/>
    </row>
    <row r="213" ht="42.0" customHeight="1">
      <c r="A213" s="195" t="s">
        <v>0</v>
      </c>
      <c r="B213" s="195" t="s">
        <v>1</v>
      </c>
      <c r="C213" s="196" t="s">
        <v>2</v>
      </c>
      <c r="D213" s="196" t="s">
        <v>3</v>
      </c>
      <c r="E213" s="196" t="s">
        <v>4</v>
      </c>
      <c r="F213" s="196" t="s">
        <v>642</v>
      </c>
      <c r="G213" s="196" t="s">
        <v>643</v>
      </c>
      <c r="H213" s="196" t="s">
        <v>7</v>
      </c>
      <c r="I213" s="196" t="s">
        <v>8</v>
      </c>
      <c r="J213" s="196" t="s">
        <v>9</v>
      </c>
      <c r="K213" s="197" t="s">
        <v>10</v>
      </c>
      <c r="L213" s="197" t="s">
        <v>644</v>
      </c>
      <c r="M213" s="198" t="s">
        <v>645</v>
      </c>
      <c r="N213" s="196" t="s">
        <v>13</v>
      </c>
      <c r="O213" s="199" t="s">
        <v>14</v>
      </c>
      <c r="P213" s="200" t="s">
        <v>646</v>
      </c>
      <c r="Q213" s="197" t="s">
        <v>647</v>
      </c>
      <c r="R213" s="196" t="s">
        <v>16</v>
      </c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201"/>
      <c r="AV213" s="201"/>
      <c r="AW213" s="201"/>
      <c r="AX213" s="201"/>
      <c r="AY213" s="201"/>
      <c r="AZ213" s="201"/>
      <c r="BA213" s="201"/>
      <c r="BB213" s="201"/>
      <c r="BC213" s="201"/>
      <c r="BD213" s="201"/>
    </row>
    <row r="214">
      <c r="A214" s="216" t="s">
        <v>448</v>
      </c>
      <c r="B214" s="203" t="s">
        <v>430</v>
      </c>
      <c r="C214" s="203" t="s">
        <v>815</v>
      </c>
      <c r="D214" s="216" t="s">
        <v>816</v>
      </c>
      <c r="E214" s="204" t="s">
        <v>634</v>
      </c>
      <c r="F214" s="98">
        <v>6.26048097E8</v>
      </c>
      <c r="H214" s="216">
        <v>6697.0</v>
      </c>
      <c r="I214" s="20" t="s">
        <v>127</v>
      </c>
      <c r="J214" s="185" t="s">
        <v>56</v>
      </c>
      <c r="K214" s="185">
        <v>8.826871385E9</v>
      </c>
      <c r="L214" s="238">
        <v>3450.0</v>
      </c>
      <c r="M214" s="186"/>
      <c r="N214" s="186"/>
      <c r="O214" s="186"/>
      <c r="P214" s="186"/>
      <c r="Q214" s="203">
        <v>550.0</v>
      </c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2"/>
      <c r="AZ214" s="2"/>
      <c r="BA214" s="2"/>
      <c r="BB214" s="2"/>
      <c r="BC214" s="2"/>
      <c r="BD214" s="2"/>
    </row>
    <row r="215">
      <c r="A215" s="220" t="s">
        <v>448</v>
      </c>
      <c r="B215" s="209" t="s">
        <v>430</v>
      </c>
      <c r="C215" s="209" t="s">
        <v>817</v>
      </c>
      <c r="D215" s="220" t="s">
        <v>818</v>
      </c>
      <c r="E215" s="202" t="s">
        <v>634</v>
      </c>
      <c r="F215" s="98">
        <v>6.26048088E8</v>
      </c>
      <c r="H215" s="220">
        <v>6698.0</v>
      </c>
      <c r="I215" s="50" t="s">
        <v>360</v>
      </c>
      <c r="J215" s="154" t="s">
        <v>56</v>
      </c>
      <c r="K215" s="202">
        <v>7.355962044E9</v>
      </c>
      <c r="L215" s="219">
        <v>3540.0</v>
      </c>
      <c r="M215" s="175"/>
      <c r="N215" s="175"/>
      <c r="O215" s="175"/>
      <c r="P215" s="175"/>
      <c r="Q215" s="209">
        <v>560.0</v>
      </c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  <c r="AQ215" s="175"/>
      <c r="AR215" s="175"/>
      <c r="AS215" s="175"/>
      <c r="AT215" s="175"/>
      <c r="AU215" s="175"/>
      <c r="AV215" s="175"/>
      <c r="AW215" s="175"/>
      <c r="AX215" s="175"/>
      <c r="AY215" s="2"/>
      <c r="AZ215" s="2"/>
      <c r="BA215" s="2"/>
      <c r="BB215" s="2"/>
      <c r="BC215" s="2"/>
      <c r="BD215" s="2"/>
    </row>
    <row r="216">
      <c r="A216" s="216" t="s">
        <v>448</v>
      </c>
      <c r="B216" s="203" t="s">
        <v>430</v>
      </c>
      <c r="C216" s="203" t="s">
        <v>819</v>
      </c>
      <c r="D216" s="216" t="s">
        <v>820</v>
      </c>
      <c r="E216" s="204" t="s">
        <v>634</v>
      </c>
      <c r="F216" s="98">
        <v>6.26048091E8</v>
      </c>
      <c r="H216" s="216">
        <v>6699.0</v>
      </c>
      <c r="I216" s="50" t="s">
        <v>124</v>
      </c>
      <c r="J216" s="185" t="s">
        <v>56</v>
      </c>
      <c r="K216" s="204">
        <v>7.290982776E9</v>
      </c>
      <c r="L216" s="223">
        <v>3450.0</v>
      </c>
      <c r="M216" s="186"/>
      <c r="N216" s="186"/>
      <c r="O216" s="186"/>
      <c r="P216" s="186"/>
      <c r="Q216" s="203">
        <v>550.0</v>
      </c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2"/>
      <c r="AZ216" s="2"/>
      <c r="BA216" s="2"/>
      <c r="BB216" s="2"/>
      <c r="BC216" s="2"/>
      <c r="BD216" s="2"/>
    </row>
    <row r="217">
      <c r="A217" s="220" t="s">
        <v>448</v>
      </c>
      <c r="B217" s="209" t="s">
        <v>430</v>
      </c>
      <c r="C217" s="209" t="s">
        <v>717</v>
      </c>
      <c r="D217" s="220" t="s">
        <v>821</v>
      </c>
      <c r="E217" s="202" t="s">
        <v>634</v>
      </c>
      <c r="F217" s="98">
        <v>6.26048098E8</v>
      </c>
      <c r="H217" s="220">
        <v>1056.0</v>
      </c>
      <c r="I217" s="50" t="s">
        <v>711</v>
      </c>
      <c r="J217" s="154" t="s">
        <v>141</v>
      </c>
      <c r="K217" s="202">
        <v>8.527548248E9</v>
      </c>
      <c r="L217" s="219">
        <v>3000.0</v>
      </c>
      <c r="M217" s="175"/>
      <c r="N217" s="175"/>
      <c r="O217" s="175"/>
      <c r="P217" s="175"/>
      <c r="Q217" s="209">
        <v>250.0</v>
      </c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  <c r="AO217" s="175"/>
      <c r="AP217" s="175"/>
      <c r="AQ217" s="175"/>
      <c r="AR217" s="175"/>
      <c r="AS217" s="175"/>
      <c r="AT217" s="175"/>
      <c r="AU217" s="175"/>
      <c r="AV217" s="175"/>
      <c r="AW217" s="175"/>
      <c r="AX217" s="175"/>
      <c r="AY217" s="2"/>
      <c r="AZ217" s="2"/>
      <c r="BA217" s="2"/>
      <c r="BB217" s="2"/>
      <c r="BC217" s="2"/>
      <c r="BD217" s="2"/>
    </row>
    <row r="218">
      <c r="A218" s="216" t="s">
        <v>448</v>
      </c>
      <c r="B218" s="203" t="s">
        <v>430</v>
      </c>
      <c r="C218" s="203" t="s">
        <v>822</v>
      </c>
      <c r="D218" s="216" t="s">
        <v>823</v>
      </c>
      <c r="E218" s="204" t="s">
        <v>634</v>
      </c>
      <c r="F218" s="98">
        <v>6.26048102E8</v>
      </c>
      <c r="H218" s="216">
        <v>1061.0</v>
      </c>
      <c r="I218" s="20" t="s">
        <v>824</v>
      </c>
      <c r="J218" s="185" t="s">
        <v>141</v>
      </c>
      <c r="K218" s="185">
        <v>8.527123649E9</v>
      </c>
      <c r="L218" s="203">
        <v>3000.0</v>
      </c>
      <c r="M218" s="186"/>
      <c r="N218" s="186"/>
      <c r="O218" s="186"/>
      <c r="P218" s="186"/>
      <c r="Q218" s="203">
        <v>500.0</v>
      </c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2"/>
      <c r="AZ218" s="2"/>
      <c r="BA218" s="2"/>
      <c r="BB218" s="2"/>
      <c r="BC218" s="2"/>
      <c r="BD218" s="2"/>
    </row>
    <row r="219">
      <c r="A219" s="220" t="s">
        <v>448</v>
      </c>
      <c r="B219" s="220" t="s">
        <v>430</v>
      </c>
      <c r="C219" s="202" t="s">
        <v>789</v>
      </c>
      <c r="D219" s="202" t="s">
        <v>825</v>
      </c>
      <c r="E219" s="154" t="s">
        <v>634</v>
      </c>
      <c r="F219" s="241">
        <v>6.26048086E8</v>
      </c>
      <c r="G219" s="175"/>
      <c r="H219" s="220">
        <v>1059.0</v>
      </c>
      <c r="I219" s="47" t="s">
        <v>826</v>
      </c>
      <c r="J219" s="154" t="s">
        <v>141</v>
      </c>
      <c r="K219" s="202">
        <v>7.530893252E9</v>
      </c>
      <c r="L219" s="219">
        <v>3000.0</v>
      </c>
      <c r="M219" s="175"/>
      <c r="N219" s="175"/>
      <c r="O219" s="175"/>
      <c r="P219" s="175"/>
      <c r="Q219" s="154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  <c r="AO219" s="175"/>
      <c r="AP219" s="175"/>
      <c r="AQ219" s="175"/>
      <c r="AR219" s="175"/>
      <c r="AS219" s="175"/>
      <c r="AT219" s="175"/>
      <c r="AU219" s="175"/>
      <c r="AV219" s="175"/>
      <c r="AW219" s="175"/>
      <c r="AX219" s="175"/>
      <c r="AY219" s="2"/>
      <c r="AZ219" s="2"/>
      <c r="BA219" s="2"/>
      <c r="BB219" s="2"/>
      <c r="BC219" s="2"/>
      <c r="BD219" s="2"/>
    </row>
    <row r="220">
      <c r="A220" s="216" t="s">
        <v>448</v>
      </c>
      <c r="B220" s="203" t="s">
        <v>430</v>
      </c>
      <c r="C220" s="203" t="s">
        <v>685</v>
      </c>
      <c r="D220" s="216" t="s">
        <v>777</v>
      </c>
      <c r="E220" s="204" t="s">
        <v>634</v>
      </c>
      <c r="F220" s="98">
        <v>6.26048095E8</v>
      </c>
      <c r="H220" s="216">
        <v>1058.0</v>
      </c>
      <c r="I220" s="20" t="s">
        <v>827</v>
      </c>
      <c r="J220" s="185" t="s">
        <v>141</v>
      </c>
      <c r="K220" s="185">
        <v>9.161156058E9</v>
      </c>
      <c r="L220" s="223">
        <v>3000.0</v>
      </c>
      <c r="M220" s="186"/>
      <c r="N220" s="186"/>
      <c r="O220" s="186"/>
      <c r="P220" s="186"/>
      <c r="Q220" s="203">
        <v>500.0</v>
      </c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2"/>
      <c r="AZ220" s="2"/>
      <c r="BA220" s="2"/>
      <c r="BB220" s="2"/>
      <c r="BC220" s="2"/>
      <c r="BD220" s="2"/>
    </row>
    <row r="221">
      <c r="A221" s="220" t="s">
        <v>448</v>
      </c>
      <c r="B221" s="209" t="s">
        <v>430</v>
      </c>
      <c r="C221" s="209" t="s">
        <v>735</v>
      </c>
      <c r="D221" s="220" t="s">
        <v>664</v>
      </c>
      <c r="E221" s="202" t="s">
        <v>634</v>
      </c>
      <c r="F221" s="98">
        <v>6.26048092E8</v>
      </c>
      <c r="H221" s="220">
        <v>1057.0</v>
      </c>
      <c r="I221" s="74" t="s">
        <v>665</v>
      </c>
      <c r="J221" s="220" t="s">
        <v>141</v>
      </c>
      <c r="K221" s="220">
        <v>8.506009561E9</v>
      </c>
      <c r="L221" s="219">
        <v>3000.0</v>
      </c>
      <c r="M221" s="175"/>
      <c r="N221" s="175"/>
      <c r="O221" s="175"/>
      <c r="P221" s="175"/>
      <c r="Q221" s="209">
        <v>300.0</v>
      </c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  <c r="AO221" s="175"/>
      <c r="AP221" s="175"/>
      <c r="AQ221" s="175"/>
      <c r="AR221" s="175"/>
      <c r="AS221" s="175"/>
      <c r="AT221" s="175"/>
      <c r="AU221" s="175"/>
      <c r="AV221" s="175"/>
      <c r="AW221" s="175"/>
      <c r="AX221" s="175"/>
      <c r="AY221" s="2"/>
      <c r="AZ221" s="2"/>
      <c r="BA221" s="2"/>
      <c r="BB221" s="2"/>
      <c r="BC221" s="2"/>
      <c r="BD221" s="2"/>
    </row>
    <row r="222">
      <c r="A222" s="216" t="s">
        <v>448</v>
      </c>
      <c r="B222" s="216" t="s">
        <v>430</v>
      </c>
      <c r="C222" s="204" t="s">
        <v>748</v>
      </c>
      <c r="D222" s="204" t="s">
        <v>828</v>
      </c>
      <c r="E222" s="204" t="s">
        <v>634</v>
      </c>
      <c r="F222" s="241">
        <v>6.26048087E8</v>
      </c>
      <c r="G222" s="186"/>
      <c r="H222" s="216">
        <v>6700.0</v>
      </c>
      <c r="I222" s="52" t="s">
        <v>114</v>
      </c>
      <c r="J222" s="185" t="s">
        <v>56</v>
      </c>
      <c r="K222" s="185">
        <v>9.956958533E9</v>
      </c>
      <c r="L222" s="238">
        <v>6000.0</v>
      </c>
      <c r="M222" s="186"/>
      <c r="N222" s="186"/>
      <c r="O222" s="186"/>
      <c r="P222" s="186"/>
      <c r="Q222" s="185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2"/>
      <c r="AZ222" s="2"/>
      <c r="BA222" s="2"/>
      <c r="BB222" s="2"/>
      <c r="BC222" s="2"/>
      <c r="BD222" s="2"/>
    </row>
    <row r="223">
      <c r="A223" s="220" t="s">
        <v>448</v>
      </c>
      <c r="B223" s="209" t="s">
        <v>430</v>
      </c>
      <c r="C223" s="209" t="s">
        <v>763</v>
      </c>
      <c r="D223" s="220" t="s">
        <v>829</v>
      </c>
      <c r="E223" s="202" t="s">
        <v>634</v>
      </c>
      <c r="F223" s="98">
        <v>6.26048114E8</v>
      </c>
      <c r="H223" s="220">
        <v>1062.0</v>
      </c>
      <c r="I223" s="52" t="s">
        <v>511</v>
      </c>
      <c r="J223" s="154" t="s">
        <v>141</v>
      </c>
      <c r="K223" s="154">
        <v>8.285997574E9</v>
      </c>
      <c r="L223" s="209">
        <v>3000.0</v>
      </c>
      <c r="M223" s="175"/>
      <c r="N223" s="175"/>
      <c r="O223" s="175"/>
      <c r="P223" s="175"/>
      <c r="Q223" s="209">
        <v>500.0</v>
      </c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5"/>
      <c r="AT223" s="175"/>
      <c r="AU223" s="175"/>
      <c r="AV223" s="175"/>
      <c r="AW223" s="175"/>
      <c r="AX223" s="175"/>
    </row>
    <row r="224">
      <c r="A224" s="216" t="s">
        <v>448</v>
      </c>
      <c r="B224" s="203" t="s">
        <v>430</v>
      </c>
      <c r="C224" s="203" t="s">
        <v>830</v>
      </c>
      <c r="D224" s="216" t="s">
        <v>831</v>
      </c>
      <c r="E224" s="204" t="s">
        <v>634</v>
      </c>
      <c r="F224" s="98">
        <v>6.26048103E8</v>
      </c>
      <c r="H224" s="216">
        <v>1063.0</v>
      </c>
      <c r="I224" s="74" t="s">
        <v>832</v>
      </c>
      <c r="J224" s="185" t="s">
        <v>141</v>
      </c>
      <c r="K224" s="216">
        <v>9.958559288E9</v>
      </c>
      <c r="L224" s="203">
        <v>3000.0</v>
      </c>
      <c r="M224" s="186"/>
      <c r="N224" s="186"/>
      <c r="O224" s="186"/>
      <c r="P224" s="186"/>
      <c r="Q224" s="203">
        <v>300.0</v>
      </c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2"/>
      <c r="AZ224" s="2"/>
      <c r="BA224" s="2"/>
      <c r="BB224" s="2"/>
      <c r="BC224" s="2"/>
      <c r="BD224" s="2"/>
    </row>
    <row r="225">
      <c r="A225" s="220" t="s">
        <v>448</v>
      </c>
      <c r="B225" s="209" t="s">
        <v>430</v>
      </c>
      <c r="C225" s="209" t="s">
        <v>833</v>
      </c>
      <c r="D225" s="220" t="s">
        <v>834</v>
      </c>
      <c r="E225" s="202" t="s">
        <v>650</v>
      </c>
      <c r="F225" s="98">
        <v>6.26048108E8</v>
      </c>
      <c r="H225" s="209">
        <v>12076.0</v>
      </c>
      <c r="I225" s="20" t="s">
        <v>59</v>
      </c>
      <c r="J225" s="154" t="s">
        <v>835</v>
      </c>
      <c r="K225" s="154">
        <v>9.306615531E9</v>
      </c>
      <c r="L225" s="209">
        <v>11460.0</v>
      </c>
      <c r="M225" s="175"/>
      <c r="N225" s="175"/>
      <c r="O225" s="175"/>
      <c r="P225" s="175"/>
      <c r="Q225" s="209">
        <v>1005.0</v>
      </c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5"/>
      <c r="AT225" s="175"/>
      <c r="AU225" s="175"/>
      <c r="AV225" s="175"/>
      <c r="AW225" s="175"/>
      <c r="AX225" s="175"/>
      <c r="AY225" s="2"/>
      <c r="AZ225" s="2"/>
      <c r="BA225" s="2"/>
      <c r="BB225" s="2"/>
      <c r="BC225" s="2"/>
      <c r="BD225" s="2"/>
    </row>
    <row r="226">
      <c r="A226" s="216" t="s">
        <v>448</v>
      </c>
      <c r="B226" s="203" t="s">
        <v>430</v>
      </c>
      <c r="C226" s="203" t="s">
        <v>836</v>
      </c>
      <c r="D226" s="216" t="s">
        <v>837</v>
      </c>
      <c r="E226" s="204" t="s">
        <v>634</v>
      </c>
      <c r="F226" s="98">
        <v>6.26048089E8</v>
      </c>
      <c r="H226" s="216">
        <v>6704.0</v>
      </c>
      <c r="I226" s="52" t="s">
        <v>55</v>
      </c>
      <c r="J226" s="249" t="s">
        <v>56</v>
      </c>
      <c r="K226" s="250">
        <v>9.718858411E9</v>
      </c>
      <c r="L226" s="223">
        <v>3450.0</v>
      </c>
      <c r="M226" s="186"/>
      <c r="N226" s="186"/>
      <c r="O226" s="186"/>
      <c r="P226" s="186"/>
      <c r="Q226" s="203">
        <v>550.0</v>
      </c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2"/>
      <c r="AZ226" s="2"/>
      <c r="BA226" s="2"/>
      <c r="BB226" s="2"/>
      <c r="BC226" s="2"/>
      <c r="BD226" s="2"/>
    </row>
    <row r="227">
      <c r="A227" s="220" t="s">
        <v>448</v>
      </c>
      <c r="B227" s="209" t="s">
        <v>430</v>
      </c>
      <c r="C227" s="209" t="s">
        <v>685</v>
      </c>
      <c r="D227" s="220" t="s">
        <v>838</v>
      </c>
      <c r="E227" s="202" t="s">
        <v>634</v>
      </c>
      <c r="F227" s="98">
        <v>6.26048099E8</v>
      </c>
      <c r="H227" s="220">
        <v>6701.0</v>
      </c>
      <c r="I227" s="20" t="s">
        <v>69</v>
      </c>
      <c r="J227" s="154" t="s">
        <v>56</v>
      </c>
      <c r="K227" s="209">
        <v>9.899885211E9</v>
      </c>
      <c r="L227" s="209">
        <v>4020.0</v>
      </c>
      <c r="M227" s="175"/>
      <c r="N227" s="175"/>
      <c r="O227" s="175"/>
      <c r="P227" s="175"/>
      <c r="Q227" s="209">
        <v>670.0</v>
      </c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  <c r="AO227" s="175"/>
      <c r="AP227" s="175"/>
      <c r="AQ227" s="175"/>
      <c r="AR227" s="175"/>
      <c r="AS227" s="175"/>
      <c r="AT227" s="175"/>
      <c r="AU227" s="175"/>
      <c r="AV227" s="175"/>
      <c r="AW227" s="175"/>
      <c r="AX227" s="175"/>
      <c r="AY227" s="2"/>
      <c r="AZ227" s="2"/>
      <c r="BA227" s="2"/>
      <c r="BB227" s="2"/>
      <c r="BC227" s="2"/>
      <c r="BD227" s="2"/>
    </row>
    <row r="228">
      <c r="A228" s="216" t="s">
        <v>448</v>
      </c>
      <c r="B228" s="203" t="s">
        <v>430</v>
      </c>
      <c r="C228" s="203" t="s">
        <v>685</v>
      </c>
      <c r="D228" s="216" t="s">
        <v>838</v>
      </c>
      <c r="E228" s="204" t="s">
        <v>634</v>
      </c>
      <c r="F228" s="98">
        <v>6.260481E8</v>
      </c>
      <c r="H228" s="216">
        <v>6701.0</v>
      </c>
      <c r="I228" s="20" t="s">
        <v>69</v>
      </c>
      <c r="J228" s="185" t="s">
        <v>56</v>
      </c>
      <c r="K228" s="203">
        <v>9.899885211E9</v>
      </c>
      <c r="L228" s="203">
        <v>4020.0</v>
      </c>
      <c r="M228" s="186"/>
      <c r="N228" s="186"/>
      <c r="O228" s="186"/>
      <c r="P228" s="186"/>
      <c r="Q228" s="203">
        <v>670.0</v>
      </c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2"/>
      <c r="AZ228" s="2"/>
      <c r="BA228" s="2"/>
      <c r="BB228" s="2"/>
      <c r="BC228" s="2"/>
      <c r="BD228" s="2"/>
    </row>
    <row r="229">
      <c r="A229" s="220" t="s">
        <v>448</v>
      </c>
      <c r="B229" s="209" t="s">
        <v>430</v>
      </c>
      <c r="C229" s="209" t="s">
        <v>685</v>
      </c>
      <c r="D229" s="220" t="s">
        <v>838</v>
      </c>
      <c r="E229" s="202" t="s">
        <v>634</v>
      </c>
      <c r="F229" s="98">
        <v>6.26048104E8</v>
      </c>
      <c r="H229" s="220">
        <v>6701.0</v>
      </c>
      <c r="I229" s="20" t="s">
        <v>69</v>
      </c>
      <c r="J229" s="154" t="s">
        <v>56</v>
      </c>
      <c r="K229" s="209">
        <v>9.899885211E9</v>
      </c>
      <c r="L229" s="209">
        <v>6000.0</v>
      </c>
      <c r="M229" s="175"/>
      <c r="N229" s="175"/>
      <c r="O229" s="175"/>
      <c r="P229" s="175"/>
      <c r="Q229" s="209">
        <v>500.0</v>
      </c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  <c r="AO229" s="175"/>
      <c r="AP229" s="175"/>
      <c r="AQ229" s="175"/>
      <c r="AR229" s="175"/>
      <c r="AS229" s="175"/>
      <c r="AT229" s="175"/>
      <c r="AU229" s="175"/>
      <c r="AV229" s="175"/>
      <c r="AW229" s="175"/>
      <c r="AX229" s="175"/>
      <c r="AY229" s="2"/>
      <c r="AZ229" s="2"/>
      <c r="BA229" s="2"/>
      <c r="BB229" s="2"/>
      <c r="BC229" s="2"/>
      <c r="BD229" s="2"/>
    </row>
    <row r="230">
      <c r="H230" s="259"/>
    </row>
    <row r="231">
      <c r="A231" s="220"/>
      <c r="B231" s="209"/>
      <c r="C231" s="209"/>
      <c r="D231" s="220"/>
      <c r="E231" s="202"/>
      <c r="F231" s="209"/>
      <c r="H231" s="209"/>
      <c r="L231" s="237">
        <f>SUM(L214:L230)</f>
        <v>66390</v>
      </c>
      <c r="M231" s="175"/>
      <c r="N231" s="175"/>
      <c r="O231" s="175"/>
      <c r="P231" s="175"/>
      <c r="Q231" s="209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  <c r="AO231" s="175"/>
      <c r="AP231" s="175"/>
      <c r="AQ231" s="175"/>
      <c r="AR231" s="175"/>
      <c r="AS231" s="175"/>
      <c r="AT231" s="175"/>
      <c r="AU231" s="175"/>
      <c r="AV231" s="175"/>
      <c r="AW231" s="175"/>
      <c r="AX231" s="175"/>
    </row>
    <row r="232">
      <c r="A232" s="216"/>
      <c r="B232" s="203"/>
      <c r="C232" s="203"/>
      <c r="D232" s="216"/>
      <c r="E232" s="204"/>
      <c r="F232" s="203"/>
      <c r="H232" s="203"/>
      <c r="L232" s="203"/>
      <c r="M232" s="186"/>
      <c r="N232" s="186"/>
      <c r="O232" s="186"/>
      <c r="P232" s="186"/>
      <c r="Q232" s="203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</row>
    <row r="233">
      <c r="A233" s="240" t="s">
        <v>463</v>
      </c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6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  <c r="AO233" s="175"/>
      <c r="AP233" s="175"/>
      <c r="AQ233" s="175"/>
      <c r="AR233" s="175"/>
      <c r="AS233" s="175"/>
      <c r="AT233" s="175"/>
      <c r="AU233" s="175"/>
      <c r="AV233" s="175"/>
      <c r="AW233" s="175"/>
      <c r="AX233" s="175"/>
      <c r="AY233" s="2"/>
      <c r="AZ233" s="2"/>
      <c r="BA233" s="2"/>
      <c r="BB233" s="2"/>
      <c r="BC233" s="2"/>
      <c r="BD233" s="2"/>
    </row>
    <row r="234" ht="42.0" customHeight="1">
      <c r="A234" s="195" t="s">
        <v>0</v>
      </c>
      <c r="B234" s="195" t="s">
        <v>1</v>
      </c>
      <c r="C234" s="196" t="s">
        <v>2</v>
      </c>
      <c r="D234" s="196" t="s">
        <v>3</v>
      </c>
      <c r="E234" s="196" t="s">
        <v>4</v>
      </c>
      <c r="F234" s="196" t="s">
        <v>642</v>
      </c>
      <c r="G234" s="196" t="s">
        <v>643</v>
      </c>
      <c r="H234" s="196" t="s">
        <v>7</v>
      </c>
      <c r="I234" s="196" t="s">
        <v>8</v>
      </c>
      <c r="J234" s="196" t="s">
        <v>9</v>
      </c>
      <c r="K234" s="197" t="s">
        <v>10</v>
      </c>
      <c r="L234" s="197" t="s">
        <v>644</v>
      </c>
      <c r="M234" s="198" t="s">
        <v>645</v>
      </c>
      <c r="N234" s="196" t="s">
        <v>13</v>
      </c>
      <c r="O234" s="199" t="s">
        <v>14</v>
      </c>
      <c r="P234" s="200" t="s">
        <v>646</v>
      </c>
      <c r="Q234" s="197" t="s">
        <v>647</v>
      </c>
      <c r="R234" s="196" t="s">
        <v>16</v>
      </c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  <c r="AU234" s="201"/>
      <c r="AV234" s="201"/>
      <c r="AW234" s="201"/>
      <c r="AX234" s="201"/>
      <c r="AY234" s="201"/>
      <c r="AZ234" s="201"/>
      <c r="BA234" s="201"/>
      <c r="BB234" s="201"/>
      <c r="BC234" s="201"/>
      <c r="BD234" s="201"/>
    </row>
    <row r="235">
      <c r="A235" s="220" t="s">
        <v>463</v>
      </c>
      <c r="B235" s="209" t="s">
        <v>430</v>
      </c>
      <c r="C235" s="209" t="s">
        <v>839</v>
      </c>
      <c r="D235" s="220" t="s">
        <v>840</v>
      </c>
      <c r="E235" s="202" t="s">
        <v>634</v>
      </c>
      <c r="F235" s="98">
        <v>6.26048111E8</v>
      </c>
      <c r="H235" s="202">
        <v>1064.0</v>
      </c>
      <c r="I235" s="52" t="s">
        <v>511</v>
      </c>
      <c r="J235" s="154" t="s">
        <v>141</v>
      </c>
      <c r="K235" s="154">
        <v>8.285997574E9</v>
      </c>
      <c r="L235" s="209">
        <v>3000.0</v>
      </c>
      <c r="M235" s="175"/>
      <c r="N235" s="175"/>
      <c r="O235" s="175"/>
      <c r="P235" s="175"/>
      <c r="Q235" s="209">
        <v>500.0</v>
      </c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  <c r="AO235" s="175"/>
      <c r="AP235" s="175"/>
      <c r="AQ235" s="175"/>
      <c r="AR235" s="175"/>
      <c r="AS235" s="175"/>
      <c r="AT235" s="175"/>
      <c r="AU235" s="175"/>
      <c r="AV235" s="175"/>
      <c r="AW235" s="175"/>
      <c r="AX235" s="175"/>
    </row>
    <row r="236">
      <c r="A236" s="216" t="s">
        <v>463</v>
      </c>
      <c r="B236" s="203" t="s">
        <v>430</v>
      </c>
      <c r="C236" s="203" t="s">
        <v>801</v>
      </c>
      <c r="D236" s="216" t="s">
        <v>841</v>
      </c>
      <c r="E236" s="204" t="s">
        <v>634</v>
      </c>
      <c r="F236" s="98">
        <v>6.2604811E8</v>
      </c>
      <c r="H236" s="204">
        <v>6705.0</v>
      </c>
      <c r="I236" s="50" t="s">
        <v>124</v>
      </c>
      <c r="J236" s="185" t="s">
        <v>56</v>
      </c>
      <c r="K236" s="204">
        <v>7.290982776E9</v>
      </c>
      <c r="L236" s="203">
        <v>3000.0</v>
      </c>
      <c r="M236" s="186"/>
      <c r="N236" s="186"/>
      <c r="O236" s="186"/>
      <c r="P236" s="186"/>
      <c r="Q236" s="203">
        <v>250.0</v>
      </c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2"/>
      <c r="AZ236" s="2"/>
      <c r="BA236" s="2"/>
      <c r="BB236" s="2"/>
      <c r="BC236" s="2"/>
      <c r="BD236" s="2"/>
    </row>
    <row r="237">
      <c r="A237" s="220" t="s">
        <v>463</v>
      </c>
      <c r="B237" s="220" t="s">
        <v>430</v>
      </c>
      <c r="C237" s="202" t="s">
        <v>683</v>
      </c>
      <c r="D237" s="202" t="s">
        <v>842</v>
      </c>
      <c r="E237" s="202" t="s">
        <v>634</v>
      </c>
      <c r="F237" s="241">
        <v>6.2604809E8</v>
      </c>
      <c r="G237" s="175"/>
      <c r="H237" s="220">
        <v>1065.0</v>
      </c>
      <c r="I237" s="50" t="s">
        <v>711</v>
      </c>
      <c r="J237" s="154" t="s">
        <v>141</v>
      </c>
      <c r="K237" s="202">
        <v>8.527548248E9</v>
      </c>
      <c r="L237" s="234">
        <v>3120.0</v>
      </c>
      <c r="M237" s="175"/>
      <c r="N237" s="175"/>
      <c r="O237" s="175"/>
      <c r="P237" s="175"/>
      <c r="Q237" s="154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  <c r="AO237" s="175"/>
      <c r="AP237" s="175"/>
      <c r="AQ237" s="175"/>
      <c r="AR237" s="175"/>
      <c r="AS237" s="175"/>
      <c r="AT237" s="175"/>
      <c r="AU237" s="175"/>
      <c r="AV237" s="175"/>
      <c r="AW237" s="175"/>
      <c r="AX237" s="175"/>
      <c r="AY237" s="2"/>
      <c r="AZ237" s="2"/>
      <c r="BA237" s="2"/>
      <c r="BB237" s="2"/>
      <c r="BC237" s="2"/>
      <c r="BD237" s="2"/>
    </row>
    <row r="238">
      <c r="A238" s="216" t="s">
        <v>463</v>
      </c>
      <c r="B238" s="203" t="s">
        <v>430</v>
      </c>
      <c r="C238" s="203" t="s">
        <v>843</v>
      </c>
      <c r="D238" s="216" t="s">
        <v>844</v>
      </c>
      <c r="E238" s="204" t="s">
        <v>634</v>
      </c>
      <c r="F238" s="98">
        <v>6.26048112E8</v>
      </c>
      <c r="H238" s="204">
        <v>6706.0</v>
      </c>
      <c r="I238" s="50" t="s">
        <v>360</v>
      </c>
      <c r="J238" s="185" t="s">
        <v>56</v>
      </c>
      <c r="K238" s="204">
        <v>7.355962044E9</v>
      </c>
      <c r="L238" s="203">
        <v>3000.0</v>
      </c>
      <c r="M238" s="186"/>
      <c r="N238" s="186"/>
      <c r="O238" s="186"/>
      <c r="P238" s="186"/>
      <c r="Q238" s="203">
        <v>250.0</v>
      </c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</row>
    <row r="239">
      <c r="A239" s="220" t="s">
        <v>463</v>
      </c>
      <c r="B239" s="209" t="s">
        <v>448</v>
      </c>
      <c r="C239" s="209" t="s">
        <v>750</v>
      </c>
      <c r="D239" s="260" t="s">
        <v>845</v>
      </c>
      <c r="E239" s="202" t="s">
        <v>634</v>
      </c>
      <c r="F239" s="98">
        <v>6.26048119E8</v>
      </c>
      <c r="G239" s="209"/>
      <c r="H239" s="220">
        <v>1067.0</v>
      </c>
      <c r="I239" s="47" t="s">
        <v>846</v>
      </c>
      <c r="J239" s="154" t="s">
        <v>141</v>
      </c>
      <c r="K239" s="202">
        <v>8.506009561E9</v>
      </c>
      <c r="L239" s="209">
        <v>3000.0</v>
      </c>
      <c r="M239" s="211"/>
      <c r="N239" s="211"/>
      <c r="O239" s="211"/>
      <c r="P239" s="211"/>
      <c r="Q239" s="209">
        <v>375.0</v>
      </c>
      <c r="R239" s="209" t="s">
        <v>847</v>
      </c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  <c r="AJ239" s="211"/>
      <c r="AK239" s="211"/>
      <c r="AL239" s="211"/>
      <c r="AM239" s="211"/>
      <c r="AN239" s="211"/>
      <c r="AO239" s="211"/>
      <c r="AP239" s="211"/>
      <c r="AQ239" s="211"/>
      <c r="AR239" s="211"/>
      <c r="AS239" s="211"/>
      <c r="AT239" s="211"/>
      <c r="AU239" s="211"/>
      <c r="AV239" s="211"/>
      <c r="AW239" s="211"/>
      <c r="AX239" s="211"/>
      <c r="AY239" s="51"/>
      <c r="AZ239" s="51"/>
      <c r="BA239" s="51"/>
      <c r="BB239" s="51"/>
      <c r="BC239" s="51"/>
      <c r="BD239" s="51"/>
    </row>
    <row r="240">
      <c r="A240" s="216" t="s">
        <v>463</v>
      </c>
      <c r="B240" s="203" t="s">
        <v>430</v>
      </c>
      <c r="C240" s="203" t="s">
        <v>848</v>
      </c>
      <c r="D240" s="216" t="s">
        <v>849</v>
      </c>
      <c r="E240" s="204" t="s">
        <v>634</v>
      </c>
      <c r="F240" s="98">
        <v>6.26048113E8</v>
      </c>
      <c r="H240" s="204">
        <v>1066.0</v>
      </c>
      <c r="I240" s="47" t="s">
        <v>850</v>
      </c>
      <c r="J240" s="185" t="s">
        <v>141</v>
      </c>
      <c r="K240" s="185">
        <v>9.899561254E9</v>
      </c>
      <c r="L240" s="203">
        <v>2700.0</v>
      </c>
      <c r="M240" s="186"/>
      <c r="N240" s="186"/>
      <c r="O240" s="186"/>
      <c r="P240" s="186"/>
      <c r="Q240" s="203">
        <v>250.0</v>
      </c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</row>
    <row r="241">
      <c r="A241" s="220" t="s">
        <v>463</v>
      </c>
      <c r="B241" s="209" t="s">
        <v>448</v>
      </c>
      <c r="C241" s="202" t="s">
        <v>851</v>
      </c>
      <c r="D241" s="202" t="s">
        <v>852</v>
      </c>
      <c r="E241" s="202" t="s">
        <v>634</v>
      </c>
      <c r="F241" s="241">
        <v>6.26048122E8</v>
      </c>
      <c r="G241" s="175"/>
      <c r="H241" s="202">
        <v>3145.0</v>
      </c>
      <c r="I241" s="20" t="s">
        <v>372</v>
      </c>
      <c r="J241" s="154" t="s">
        <v>373</v>
      </c>
      <c r="K241" s="154">
        <v>8.684015172E9</v>
      </c>
      <c r="L241" s="242">
        <v>2400.0</v>
      </c>
      <c r="M241" s="175"/>
      <c r="N241" s="175"/>
      <c r="O241" s="175"/>
      <c r="P241" s="175"/>
      <c r="Q241" s="202">
        <v>400.0</v>
      </c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  <c r="AO241" s="175"/>
      <c r="AP241" s="175"/>
      <c r="AQ241" s="175"/>
      <c r="AR241" s="175"/>
      <c r="AS241" s="175"/>
      <c r="AT241" s="175"/>
      <c r="AU241" s="175"/>
      <c r="AV241" s="175"/>
      <c r="AW241" s="175"/>
      <c r="AX241" s="175"/>
      <c r="AY241" s="2"/>
      <c r="AZ241" s="2"/>
      <c r="BA241" s="2"/>
      <c r="BB241" s="2"/>
      <c r="BC241" s="2"/>
      <c r="BD241" s="2"/>
    </row>
    <row r="242">
      <c r="A242" s="216" t="s">
        <v>463</v>
      </c>
      <c r="B242" s="203" t="s">
        <v>430</v>
      </c>
      <c r="C242" s="203" t="s">
        <v>853</v>
      </c>
      <c r="D242" s="216" t="s">
        <v>854</v>
      </c>
      <c r="E242" s="204" t="s">
        <v>634</v>
      </c>
      <c r="F242" s="98">
        <v>6.26048109E8</v>
      </c>
      <c r="H242" s="204">
        <v>1068.0</v>
      </c>
      <c r="I242" s="74" t="s">
        <v>665</v>
      </c>
      <c r="J242" s="216" t="s">
        <v>141</v>
      </c>
      <c r="K242" s="216">
        <v>8.506009561E9</v>
      </c>
      <c r="L242" s="203">
        <v>3000.0</v>
      </c>
      <c r="M242" s="186"/>
      <c r="N242" s="186"/>
      <c r="O242" s="186"/>
      <c r="P242" s="186"/>
      <c r="Q242" s="203">
        <v>500.0</v>
      </c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2"/>
      <c r="AZ242" s="2"/>
      <c r="BA242" s="2"/>
      <c r="BB242" s="2"/>
      <c r="BC242" s="2"/>
      <c r="BD242" s="2"/>
    </row>
    <row r="243">
      <c r="A243" s="220" t="s">
        <v>463</v>
      </c>
      <c r="B243" s="209" t="s">
        <v>448</v>
      </c>
      <c r="C243" s="209" t="s">
        <v>855</v>
      </c>
      <c r="D243" s="209" t="s">
        <v>856</v>
      </c>
      <c r="E243" s="202" t="s">
        <v>634</v>
      </c>
      <c r="F243" s="98">
        <v>6.26048116E8</v>
      </c>
      <c r="G243" s="209"/>
      <c r="H243" s="220">
        <v>6707.0</v>
      </c>
      <c r="I243" s="52" t="s">
        <v>114</v>
      </c>
      <c r="J243" s="154" t="s">
        <v>56</v>
      </c>
      <c r="K243" s="154">
        <v>9.956958533E9</v>
      </c>
      <c r="L243" s="209">
        <v>3000.0</v>
      </c>
      <c r="M243" s="211"/>
      <c r="N243" s="211"/>
      <c r="O243" s="211"/>
      <c r="P243" s="211"/>
      <c r="Q243" s="209">
        <v>250.0</v>
      </c>
      <c r="R243" s="209" t="s">
        <v>857</v>
      </c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11"/>
      <c r="AM243" s="211"/>
      <c r="AN243" s="211"/>
      <c r="AO243" s="211"/>
      <c r="AP243" s="211"/>
      <c r="AQ243" s="211"/>
      <c r="AR243" s="211"/>
      <c r="AS243" s="211"/>
      <c r="AT243" s="211"/>
      <c r="AU243" s="211"/>
      <c r="AV243" s="211"/>
      <c r="AW243" s="211"/>
      <c r="AX243" s="211"/>
      <c r="AY243" s="51"/>
      <c r="AZ243" s="51"/>
      <c r="BA243" s="51"/>
      <c r="BB243" s="51"/>
      <c r="BC243" s="51"/>
      <c r="BD243" s="51"/>
    </row>
    <row r="244">
      <c r="A244" s="216" t="s">
        <v>463</v>
      </c>
      <c r="B244" s="203" t="s">
        <v>448</v>
      </c>
      <c r="C244" s="203" t="s">
        <v>858</v>
      </c>
      <c r="D244" s="203" t="s">
        <v>859</v>
      </c>
      <c r="E244" s="204" t="s">
        <v>634</v>
      </c>
      <c r="F244" s="98">
        <v>6.26048118E8</v>
      </c>
      <c r="G244" s="203"/>
      <c r="H244" s="216">
        <v>6708.0</v>
      </c>
      <c r="I244" s="52" t="s">
        <v>114</v>
      </c>
      <c r="J244" s="185" t="s">
        <v>56</v>
      </c>
      <c r="K244" s="185">
        <v>9.956958533E9</v>
      </c>
      <c r="L244" s="203">
        <v>2400.0</v>
      </c>
      <c r="M244" s="215"/>
      <c r="N244" s="215"/>
      <c r="O244" s="215"/>
      <c r="P244" s="215"/>
      <c r="Q244" s="203">
        <v>300.0</v>
      </c>
      <c r="R244" s="203" t="s">
        <v>857</v>
      </c>
      <c r="S244" s="215"/>
      <c r="T244" s="215"/>
      <c r="U244" s="215"/>
      <c r="V244" s="215"/>
      <c r="W244" s="215"/>
      <c r="X244" s="215"/>
      <c r="Y244" s="215"/>
      <c r="Z244" s="215"/>
      <c r="AA244" s="215"/>
      <c r="AB244" s="215"/>
      <c r="AC244" s="215"/>
      <c r="AD244" s="215"/>
      <c r="AE244" s="215"/>
      <c r="AF244" s="215"/>
      <c r="AG244" s="215"/>
      <c r="AH244" s="215"/>
      <c r="AI244" s="215"/>
      <c r="AJ244" s="215"/>
      <c r="AK244" s="215"/>
      <c r="AL244" s="215"/>
      <c r="AM244" s="215"/>
      <c r="AN244" s="215"/>
      <c r="AO244" s="215"/>
      <c r="AP244" s="215"/>
      <c r="AQ244" s="215"/>
      <c r="AR244" s="215"/>
      <c r="AS244" s="215"/>
      <c r="AT244" s="215"/>
      <c r="AU244" s="215"/>
      <c r="AV244" s="215"/>
      <c r="AW244" s="215"/>
      <c r="AX244" s="215"/>
      <c r="AY244" s="51"/>
      <c r="AZ244" s="51"/>
      <c r="BA244" s="51"/>
      <c r="BB244" s="51"/>
      <c r="BC244" s="51"/>
      <c r="BD244" s="51"/>
    </row>
    <row r="245">
      <c r="A245" s="85" t="s">
        <v>463</v>
      </c>
      <c r="B245" s="87" t="s">
        <v>430</v>
      </c>
      <c r="C245" s="87" t="s">
        <v>685</v>
      </c>
      <c r="D245" s="85" t="s">
        <v>838</v>
      </c>
      <c r="E245" s="131" t="s">
        <v>634</v>
      </c>
      <c r="F245" s="98">
        <v>6.26048106E8</v>
      </c>
      <c r="G245" s="146"/>
      <c r="H245" s="131">
        <v>6709.0</v>
      </c>
      <c r="I245" s="88" t="s">
        <v>148</v>
      </c>
      <c r="J245" s="88" t="s">
        <v>56</v>
      </c>
      <c r="K245" s="88">
        <v>8.799720529E9</v>
      </c>
      <c r="L245" s="87">
        <v>6000.0</v>
      </c>
      <c r="M245" s="134"/>
      <c r="N245" s="134"/>
      <c r="O245" s="134"/>
      <c r="P245" s="134"/>
      <c r="Q245" s="87">
        <v>500.0</v>
      </c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</row>
    <row r="246">
      <c r="A246" s="85" t="s">
        <v>463</v>
      </c>
      <c r="B246" s="87" t="s">
        <v>430</v>
      </c>
      <c r="C246" s="87" t="s">
        <v>685</v>
      </c>
      <c r="D246" s="85" t="s">
        <v>838</v>
      </c>
      <c r="E246" s="131" t="s">
        <v>634</v>
      </c>
      <c r="F246" s="98">
        <v>6.26048107E8</v>
      </c>
      <c r="G246" s="146"/>
      <c r="H246" s="131">
        <v>6709.0</v>
      </c>
      <c r="I246" s="88" t="s">
        <v>148</v>
      </c>
      <c r="J246" s="88" t="s">
        <v>56</v>
      </c>
      <c r="K246" s="88">
        <v>8.799720529E9</v>
      </c>
      <c r="L246" s="87">
        <v>6000.0</v>
      </c>
      <c r="M246" s="134"/>
      <c r="N246" s="134"/>
      <c r="O246" s="134"/>
      <c r="P246" s="134"/>
      <c r="Q246" s="87">
        <v>500.0</v>
      </c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</row>
    <row r="247">
      <c r="A247" s="220" t="s">
        <v>463</v>
      </c>
      <c r="B247" s="209" t="s">
        <v>448</v>
      </c>
      <c r="C247" s="261" t="s">
        <v>860</v>
      </c>
      <c r="D247" s="202" t="s">
        <v>861</v>
      </c>
      <c r="E247" s="202" t="s">
        <v>634</v>
      </c>
      <c r="F247" s="241">
        <v>6.26048121E8</v>
      </c>
      <c r="G247" s="175"/>
      <c r="H247" s="202">
        <v>6710.0</v>
      </c>
      <c r="I247" s="52" t="s">
        <v>55</v>
      </c>
      <c r="J247" s="253" t="s">
        <v>56</v>
      </c>
      <c r="K247" s="254">
        <v>9.718858411E9</v>
      </c>
      <c r="L247" s="242">
        <v>6000.0</v>
      </c>
      <c r="M247" s="175"/>
      <c r="N247" s="175"/>
      <c r="O247" s="175"/>
      <c r="P247" s="175"/>
      <c r="Q247" s="202">
        <v>1000.0</v>
      </c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  <c r="AQ247" s="175"/>
      <c r="AR247" s="175"/>
      <c r="AS247" s="175"/>
      <c r="AT247" s="175"/>
      <c r="AU247" s="175"/>
      <c r="AV247" s="175"/>
      <c r="AW247" s="175"/>
      <c r="AX247" s="175"/>
      <c r="AY247" s="2"/>
      <c r="AZ247" s="2"/>
      <c r="BA247" s="2"/>
      <c r="BB247" s="2"/>
      <c r="BC247" s="2"/>
      <c r="BD247" s="2"/>
    </row>
    <row r="248">
      <c r="A248" s="216" t="s">
        <v>463</v>
      </c>
      <c r="B248" s="203" t="s">
        <v>448</v>
      </c>
      <c r="C248" s="203" t="s">
        <v>726</v>
      </c>
      <c r="D248" s="203" t="s">
        <v>727</v>
      </c>
      <c r="E248" s="204" t="s">
        <v>634</v>
      </c>
      <c r="F248" s="98">
        <v>6.26048117E8</v>
      </c>
      <c r="G248" s="203"/>
      <c r="H248" s="204">
        <v>6711.0</v>
      </c>
      <c r="I248" s="52" t="s">
        <v>55</v>
      </c>
      <c r="J248" s="249" t="s">
        <v>56</v>
      </c>
      <c r="K248" s="250">
        <v>9.718858411E9</v>
      </c>
      <c r="L248" s="203">
        <v>3300.0</v>
      </c>
      <c r="M248" s="215"/>
      <c r="N248" s="215"/>
      <c r="O248" s="215"/>
      <c r="P248" s="215"/>
      <c r="Q248" s="203">
        <v>300.0</v>
      </c>
      <c r="R248" s="203" t="s">
        <v>862</v>
      </c>
      <c r="S248" s="215"/>
      <c r="T248" s="215"/>
      <c r="U248" s="215"/>
      <c r="V248" s="215"/>
      <c r="W248" s="215"/>
      <c r="X248" s="215"/>
      <c r="Y248" s="215"/>
      <c r="Z248" s="215"/>
      <c r="AA248" s="215"/>
      <c r="AB248" s="215"/>
      <c r="AC248" s="215"/>
      <c r="AD248" s="215"/>
      <c r="AE248" s="215"/>
      <c r="AF248" s="215"/>
      <c r="AG248" s="215"/>
      <c r="AH248" s="215"/>
      <c r="AI248" s="215"/>
      <c r="AJ248" s="215"/>
      <c r="AK248" s="215"/>
      <c r="AL248" s="215"/>
      <c r="AM248" s="215"/>
      <c r="AN248" s="215"/>
      <c r="AO248" s="215"/>
      <c r="AP248" s="215"/>
      <c r="AQ248" s="215"/>
      <c r="AR248" s="215"/>
      <c r="AS248" s="215"/>
      <c r="AT248" s="215"/>
      <c r="AU248" s="215"/>
      <c r="AV248" s="215"/>
      <c r="AW248" s="215"/>
      <c r="AX248" s="215"/>
      <c r="AY248" s="51"/>
      <c r="AZ248" s="51"/>
      <c r="BA248" s="51"/>
      <c r="BB248" s="51"/>
      <c r="BC248" s="51"/>
      <c r="BD248" s="51"/>
    </row>
    <row r="249">
      <c r="A249" s="220"/>
      <c r="B249" s="209"/>
      <c r="C249" s="202"/>
      <c r="D249" s="202"/>
      <c r="E249" s="202"/>
      <c r="F249" s="202"/>
      <c r="G249" s="175"/>
      <c r="H249" s="175"/>
      <c r="I249" s="175"/>
      <c r="J249" s="175"/>
      <c r="K249" s="175"/>
      <c r="L249" s="183"/>
      <c r="M249" s="175"/>
      <c r="N249" s="175"/>
      <c r="O249" s="175"/>
      <c r="P249" s="175"/>
      <c r="Q249" s="154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  <c r="AQ249" s="175"/>
      <c r="AR249" s="175"/>
      <c r="AS249" s="175"/>
      <c r="AT249" s="175"/>
      <c r="AU249" s="175"/>
      <c r="AV249" s="175"/>
      <c r="AW249" s="175"/>
      <c r="AX249" s="175"/>
      <c r="AY249" s="2"/>
      <c r="AZ249" s="2"/>
      <c r="BA249" s="2"/>
      <c r="BB249" s="2"/>
      <c r="BC249" s="2"/>
      <c r="BD249" s="2"/>
    </row>
    <row r="250">
      <c r="A250" s="212"/>
      <c r="B250" s="185"/>
      <c r="C250" s="185"/>
      <c r="D250" s="185"/>
      <c r="E250" s="185"/>
      <c r="F250" s="185"/>
      <c r="G250" s="186"/>
      <c r="H250" s="186"/>
      <c r="I250" s="186"/>
      <c r="J250" s="186"/>
      <c r="K250" s="186"/>
      <c r="L250" s="222">
        <f>SUM(L235:L249)</f>
        <v>49920</v>
      </c>
      <c r="M250" s="186"/>
      <c r="N250" s="186"/>
      <c r="O250" s="186"/>
      <c r="P250" s="186"/>
      <c r="Q250" s="185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2"/>
      <c r="AZ250" s="2"/>
      <c r="BA250" s="2"/>
      <c r="BB250" s="2"/>
      <c r="BC250" s="2"/>
      <c r="BD250" s="2"/>
    </row>
    <row r="251">
      <c r="A251" s="240" t="s">
        <v>477</v>
      </c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6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  <c r="AF251" s="175"/>
      <c r="AG251" s="175"/>
      <c r="AH251" s="175"/>
      <c r="AI251" s="175"/>
      <c r="AJ251" s="175"/>
      <c r="AK251" s="175"/>
      <c r="AL251" s="175"/>
      <c r="AM251" s="175"/>
      <c r="AN251" s="175"/>
      <c r="AO251" s="175"/>
      <c r="AP251" s="175"/>
      <c r="AQ251" s="175"/>
      <c r="AR251" s="175"/>
      <c r="AS251" s="175"/>
      <c r="AT251" s="175"/>
      <c r="AU251" s="175"/>
      <c r="AV251" s="175"/>
      <c r="AW251" s="175"/>
      <c r="AX251" s="175"/>
      <c r="AY251" s="2"/>
      <c r="AZ251" s="2"/>
      <c r="BA251" s="2"/>
      <c r="BB251" s="2"/>
      <c r="BC251" s="2"/>
      <c r="BD251" s="2"/>
    </row>
    <row r="252" ht="42.0" customHeight="1">
      <c r="A252" s="195" t="s">
        <v>0</v>
      </c>
      <c r="B252" s="195" t="s">
        <v>1</v>
      </c>
      <c r="C252" s="196" t="s">
        <v>2</v>
      </c>
      <c r="D252" s="196" t="s">
        <v>3</v>
      </c>
      <c r="E252" s="196" t="s">
        <v>4</v>
      </c>
      <c r="F252" s="196" t="s">
        <v>642</v>
      </c>
      <c r="G252" s="196" t="s">
        <v>643</v>
      </c>
      <c r="H252" s="196" t="s">
        <v>7</v>
      </c>
      <c r="I252" s="196" t="s">
        <v>8</v>
      </c>
      <c r="J252" s="196" t="s">
        <v>9</v>
      </c>
      <c r="K252" s="197" t="s">
        <v>10</v>
      </c>
      <c r="L252" s="197" t="s">
        <v>644</v>
      </c>
      <c r="M252" s="198" t="s">
        <v>645</v>
      </c>
      <c r="N252" s="196" t="s">
        <v>13</v>
      </c>
      <c r="O252" s="199" t="s">
        <v>14</v>
      </c>
      <c r="P252" s="200" t="s">
        <v>646</v>
      </c>
      <c r="Q252" s="197" t="s">
        <v>647</v>
      </c>
      <c r="R252" s="196" t="s">
        <v>16</v>
      </c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  <c r="AQ252" s="201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  <c r="BB252" s="201"/>
      <c r="BC252" s="201"/>
      <c r="BD252" s="201"/>
    </row>
    <row r="253">
      <c r="A253" s="220" t="s">
        <v>477</v>
      </c>
      <c r="B253" s="209" t="s">
        <v>448</v>
      </c>
      <c r="C253" s="202" t="s">
        <v>863</v>
      </c>
      <c r="D253" s="202" t="s">
        <v>864</v>
      </c>
      <c r="E253" s="202" t="s">
        <v>634</v>
      </c>
      <c r="F253" s="241">
        <v>6.26048123E8</v>
      </c>
      <c r="G253" s="209" t="s">
        <v>865</v>
      </c>
      <c r="H253" s="202">
        <v>6713.0</v>
      </c>
      <c r="I253" s="20" t="s">
        <v>127</v>
      </c>
      <c r="J253" s="154" t="s">
        <v>56</v>
      </c>
      <c r="K253" s="154">
        <v>8.826871385E9</v>
      </c>
      <c r="L253" s="242">
        <v>5400.0</v>
      </c>
      <c r="M253" s="175"/>
      <c r="N253" s="175"/>
      <c r="O253" s="175"/>
      <c r="P253" s="175"/>
      <c r="Q253" s="202">
        <v>450.0</v>
      </c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5"/>
      <c r="AQ253" s="175"/>
      <c r="AR253" s="175"/>
      <c r="AS253" s="175"/>
      <c r="AT253" s="175"/>
      <c r="AU253" s="175"/>
      <c r="AV253" s="175"/>
      <c r="AW253" s="175"/>
      <c r="AX253" s="175"/>
      <c r="AY253" s="2"/>
      <c r="AZ253" s="2"/>
      <c r="BA253" s="2"/>
      <c r="BB253" s="2"/>
      <c r="BC253" s="2"/>
      <c r="BD253" s="2"/>
    </row>
    <row r="254">
      <c r="A254" s="216" t="s">
        <v>477</v>
      </c>
      <c r="B254" s="203" t="s">
        <v>430</v>
      </c>
      <c r="C254" s="203" t="s">
        <v>685</v>
      </c>
      <c r="D254" s="216" t="s">
        <v>838</v>
      </c>
      <c r="E254" s="204" t="s">
        <v>634</v>
      </c>
      <c r="F254" s="98">
        <v>6.26048101E8</v>
      </c>
      <c r="H254" s="216">
        <v>6712.0</v>
      </c>
      <c r="I254" s="20" t="s">
        <v>69</v>
      </c>
      <c r="J254" s="185" t="s">
        <v>56</v>
      </c>
      <c r="K254" s="203">
        <v>9.899885211E9</v>
      </c>
      <c r="L254" s="203">
        <v>3960.0</v>
      </c>
      <c r="M254" s="186"/>
      <c r="N254" s="186"/>
      <c r="O254" s="186"/>
      <c r="P254" s="186"/>
      <c r="Q254" s="203">
        <v>660.0</v>
      </c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2"/>
      <c r="AZ254" s="2"/>
      <c r="BA254" s="2"/>
      <c r="BB254" s="2"/>
      <c r="BC254" s="2"/>
      <c r="BD254" s="2"/>
    </row>
    <row r="255">
      <c r="A255" s="220" t="s">
        <v>477</v>
      </c>
      <c r="B255" s="209" t="s">
        <v>430</v>
      </c>
      <c r="C255" s="209" t="s">
        <v>685</v>
      </c>
      <c r="D255" s="220" t="s">
        <v>838</v>
      </c>
      <c r="E255" s="202" t="s">
        <v>634</v>
      </c>
      <c r="F255" s="98">
        <v>6.26048105E8</v>
      </c>
      <c r="H255" s="220">
        <v>6712.0</v>
      </c>
      <c r="I255" s="20" t="s">
        <v>69</v>
      </c>
      <c r="J255" s="154" t="s">
        <v>56</v>
      </c>
      <c r="K255" s="209">
        <v>9.899885211E9</v>
      </c>
      <c r="L255" s="209">
        <v>6000.0</v>
      </c>
      <c r="M255" s="175"/>
      <c r="N255" s="175"/>
      <c r="O255" s="175"/>
      <c r="P255" s="175"/>
      <c r="Q255" s="209">
        <v>500.0</v>
      </c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  <c r="AQ255" s="175"/>
      <c r="AR255" s="175"/>
      <c r="AS255" s="175"/>
      <c r="AT255" s="175"/>
      <c r="AU255" s="175"/>
      <c r="AV255" s="175"/>
      <c r="AW255" s="175"/>
      <c r="AX255" s="175"/>
      <c r="AY255" s="2"/>
      <c r="AZ255" s="2"/>
      <c r="BA255" s="2"/>
      <c r="BB255" s="2"/>
      <c r="BC255" s="2"/>
      <c r="BD255" s="2"/>
    </row>
    <row r="256">
      <c r="A256" s="216" t="s">
        <v>477</v>
      </c>
      <c r="B256" s="203" t="s">
        <v>463</v>
      </c>
      <c r="C256" s="203" t="s">
        <v>807</v>
      </c>
      <c r="D256" s="203" t="s">
        <v>866</v>
      </c>
      <c r="E256" s="185" t="s">
        <v>634</v>
      </c>
      <c r="F256" s="98">
        <v>6.26048126E8</v>
      </c>
      <c r="G256" s="203" t="s">
        <v>865</v>
      </c>
      <c r="H256" s="216">
        <v>6714.0</v>
      </c>
      <c r="I256" s="52" t="s">
        <v>114</v>
      </c>
      <c r="J256" s="185" t="s">
        <v>56</v>
      </c>
      <c r="K256" s="185">
        <v>9.956958533E9</v>
      </c>
      <c r="L256" s="203">
        <v>3000.0</v>
      </c>
      <c r="M256" s="186"/>
      <c r="N256" s="186"/>
      <c r="O256" s="186"/>
      <c r="P256" s="186"/>
      <c r="Q256" s="203">
        <v>500.0</v>
      </c>
      <c r="R256" s="203" t="s">
        <v>865</v>
      </c>
      <c r="S256" s="203" t="s">
        <v>867</v>
      </c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</row>
    <row r="257">
      <c r="A257" s="220" t="s">
        <v>477</v>
      </c>
      <c r="B257" s="209" t="s">
        <v>463</v>
      </c>
      <c r="C257" s="209" t="s">
        <v>807</v>
      </c>
      <c r="D257" s="209" t="s">
        <v>866</v>
      </c>
      <c r="E257" s="154" t="s">
        <v>634</v>
      </c>
      <c r="F257" s="98">
        <v>6.26048127E8</v>
      </c>
      <c r="G257" s="220" t="s">
        <v>865</v>
      </c>
      <c r="H257" s="220">
        <v>6714.0</v>
      </c>
      <c r="I257" s="52" t="s">
        <v>114</v>
      </c>
      <c r="J257" s="154" t="s">
        <v>56</v>
      </c>
      <c r="K257" s="154">
        <v>9.956958533E9</v>
      </c>
      <c r="L257" s="209">
        <v>3000.0</v>
      </c>
      <c r="M257" s="175"/>
      <c r="N257" s="175"/>
      <c r="O257" s="175"/>
      <c r="P257" s="175"/>
      <c r="Q257" s="209">
        <v>500.0</v>
      </c>
      <c r="R257" s="209"/>
      <c r="S257" s="209" t="s">
        <v>868</v>
      </c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  <c r="AQ257" s="175"/>
      <c r="AR257" s="175"/>
      <c r="AS257" s="175"/>
      <c r="AT257" s="175"/>
      <c r="AU257" s="175"/>
      <c r="AV257" s="175"/>
      <c r="AW257" s="175"/>
      <c r="AX257" s="175"/>
    </row>
    <row r="258">
      <c r="A258" s="216" t="s">
        <v>477</v>
      </c>
      <c r="B258" s="203" t="s">
        <v>463</v>
      </c>
      <c r="C258" s="203" t="s">
        <v>669</v>
      </c>
      <c r="D258" s="203" t="s">
        <v>670</v>
      </c>
      <c r="E258" s="185" t="s">
        <v>634</v>
      </c>
      <c r="F258" s="98">
        <v>6.26048125E8</v>
      </c>
      <c r="G258" s="203" t="s">
        <v>869</v>
      </c>
      <c r="H258" s="216">
        <v>6715.0</v>
      </c>
      <c r="I258" s="50" t="s">
        <v>360</v>
      </c>
      <c r="J258" s="185" t="s">
        <v>56</v>
      </c>
      <c r="K258" s="204">
        <v>7.355962044E9</v>
      </c>
      <c r="L258" s="203">
        <v>3000.0</v>
      </c>
      <c r="M258" s="186"/>
      <c r="N258" s="186"/>
      <c r="O258" s="186"/>
      <c r="P258" s="186"/>
      <c r="Q258" s="203">
        <v>325.0</v>
      </c>
      <c r="R258" s="203" t="s">
        <v>869</v>
      </c>
      <c r="S258" s="203" t="s">
        <v>870</v>
      </c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</row>
    <row r="259">
      <c r="A259" s="220" t="s">
        <v>477</v>
      </c>
      <c r="B259" s="209" t="s">
        <v>463</v>
      </c>
      <c r="C259" s="209" t="s">
        <v>871</v>
      </c>
      <c r="D259" s="209" t="s">
        <v>872</v>
      </c>
      <c r="E259" s="154" t="s">
        <v>634</v>
      </c>
      <c r="F259" s="98">
        <v>6.26048124E8</v>
      </c>
      <c r="G259" s="209" t="s">
        <v>869</v>
      </c>
      <c r="H259" s="220">
        <v>6716.0</v>
      </c>
      <c r="I259" s="50" t="s">
        <v>124</v>
      </c>
      <c r="J259" s="154" t="s">
        <v>56</v>
      </c>
      <c r="K259" s="202">
        <v>7.290982776E9</v>
      </c>
      <c r="L259" s="209">
        <v>3000.0</v>
      </c>
      <c r="M259" s="175"/>
      <c r="N259" s="175"/>
      <c r="O259" s="175"/>
      <c r="P259" s="175"/>
      <c r="Q259" s="209">
        <v>500.0</v>
      </c>
      <c r="R259" s="209" t="s">
        <v>869</v>
      </c>
      <c r="S259" s="209" t="s">
        <v>873</v>
      </c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  <c r="AJ259" s="175"/>
      <c r="AK259" s="175"/>
      <c r="AL259" s="175"/>
      <c r="AM259" s="175"/>
      <c r="AN259" s="175"/>
      <c r="AO259" s="175"/>
      <c r="AP259" s="175"/>
      <c r="AQ259" s="175"/>
      <c r="AR259" s="175"/>
      <c r="AS259" s="175"/>
      <c r="AT259" s="175"/>
      <c r="AU259" s="175"/>
      <c r="AV259" s="175"/>
      <c r="AW259" s="175"/>
      <c r="AX259" s="175"/>
    </row>
    <row r="260">
      <c r="A260" s="216" t="s">
        <v>477</v>
      </c>
      <c r="B260" s="203" t="s">
        <v>463</v>
      </c>
      <c r="C260" s="203" t="s">
        <v>874</v>
      </c>
      <c r="D260" s="203" t="s">
        <v>875</v>
      </c>
      <c r="E260" s="185" t="s">
        <v>634</v>
      </c>
      <c r="F260" s="98">
        <v>6.26048128E8</v>
      </c>
      <c r="G260" s="203" t="s">
        <v>869</v>
      </c>
      <c r="H260" s="204">
        <v>1072.0</v>
      </c>
      <c r="I260" s="52" t="s">
        <v>511</v>
      </c>
      <c r="J260" s="185" t="s">
        <v>141</v>
      </c>
      <c r="K260" s="185">
        <v>8.285997574E9</v>
      </c>
      <c r="L260" s="203">
        <v>2700.0</v>
      </c>
      <c r="M260" s="186"/>
      <c r="N260" s="186"/>
      <c r="O260" s="186"/>
      <c r="P260" s="186"/>
      <c r="Q260" s="203">
        <v>300.0</v>
      </c>
      <c r="R260" s="203" t="s">
        <v>869</v>
      </c>
      <c r="S260" s="203" t="s">
        <v>876</v>
      </c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>
      <c r="A261" s="220" t="s">
        <v>477</v>
      </c>
      <c r="B261" s="220" t="s">
        <v>477</v>
      </c>
      <c r="C261" s="209" t="s">
        <v>685</v>
      </c>
      <c r="D261" s="220" t="s">
        <v>877</v>
      </c>
      <c r="E261" s="202" t="s">
        <v>634</v>
      </c>
      <c r="F261" s="100">
        <v>6.26048129E8</v>
      </c>
      <c r="G261" s="220" t="s">
        <v>869</v>
      </c>
      <c r="H261" s="220">
        <v>1073.0</v>
      </c>
      <c r="I261" s="50" t="s">
        <v>711</v>
      </c>
      <c r="J261" s="154" t="s">
        <v>141</v>
      </c>
      <c r="K261" s="202">
        <v>8.527548248E9</v>
      </c>
      <c r="L261" s="220">
        <v>3000.0</v>
      </c>
      <c r="M261" s="175"/>
      <c r="N261" s="175"/>
      <c r="O261" s="175"/>
      <c r="P261" s="175"/>
      <c r="Q261" s="209"/>
      <c r="R261" s="209"/>
      <c r="S261" s="209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  <c r="AJ261" s="175"/>
      <c r="AK261" s="175"/>
      <c r="AL261" s="175"/>
      <c r="AM261" s="175"/>
      <c r="AN261" s="175"/>
      <c r="AO261" s="175"/>
      <c r="AP261" s="175"/>
      <c r="AQ261" s="175"/>
      <c r="AR261" s="175"/>
      <c r="AS261" s="175"/>
      <c r="AT261" s="175"/>
      <c r="AU261" s="175"/>
      <c r="AV261" s="175"/>
      <c r="AW261" s="175"/>
      <c r="AX261" s="175"/>
    </row>
    <row r="262">
      <c r="A262" s="216" t="s">
        <v>477</v>
      </c>
      <c r="B262" s="216" t="s">
        <v>477</v>
      </c>
      <c r="C262" s="203" t="s">
        <v>685</v>
      </c>
      <c r="D262" s="216" t="s">
        <v>878</v>
      </c>
      <c r="E262" s="204" t="s">
        <v>634</v>
      </c>
      <c r="F262" s="100">
        <v>6.2604813E8</v>
      </c>
      <c r="G262" s="216" t="s">
        <v>869</v>
      </c>
      <c r="H262" s="216">
        <v>1074.0</v>
      </c>
      <c r="I262" s="47" t="s">
        <v>803</v>
      </c>
      <c r="J262" s="185" t="s">
        <v>141</v>
      </c>
      <c r="K262" s="204">
        <v>8.882065568E9</v>
      </c>
      <c r="L262" s="216">
        <v>3000.0</v>
      </c>
      <c r="M262" s="186"/>
      <c r="N262" s="186"/>
      <c r="O262" s="186"/>
      <c r="P262" s="186"/>
      <c r="Q262" s="203"/>
      <c r="R262" s="203"/>
      <c r="S262" s="203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</row>
    <row r="263">
      <c r="A263" s="220" t="s">
        <v>477</v>
      </c>
      <c r="B263" s="209" t="s">
        <v>448</v>
      </c>
      <c r="C263" s="209" t="s">
        <v>778</v>
      </c>
      <c r="D263" s="209" t="s">
        <v>779</v>
      </c>
      <c r="E263" s="202" t="s">
        <v>135</v>
      </c>
      <c r="F263" s="209">
        <v>6.2604812E8</v>
      </c>
      <c r="G263" s="220" t="s">
        <v>879</v>
      </c>
      <c r="H263" s="220" t="s">
        <v>75</v>
      </c>
      <c r="I263" s="74" t="s">
        <v>880</v>
      </c>
      <c r="J263" s="220" t="s">
        <v>263</v>
      </c>
      <c r="L263" s="209">
        <v>720.0</v>
      </c>
      <c r="M263" s="211"/>
      <c r="N263" s="211"/>
      <c r="O263" s="211"/>
      <c r="P263" s="211"/>
      <c r="Q263" s="209">
        <v>60.0</v>
      </c>
      <c r="R263" s="209" t="s">
        <v>881</v>
      </c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11"/>
      <c r="AT263" s="211"/>
      <c r="AU263" s="211"/>
      <c r="AV263" s="211"/>
      <c r="AW263" s="211"/>
      <c r="AX263" s="211"/>
      <c r="AY263" s="51"/>
      <c r="AZ263" s="51"/>
      <c r="BA263" s="51"/>
      <c r="BB263" s="51"/>
      <c r="BC263" s="51"/>
      <c r="BD263" s="51"/>
    </row>
    <row r="264">
      <c r="A264" s="216" t="s">
        <v>477</v>
      </c>
      <c r="B264" s="216" t="s">
        <v>477</v>
      </c>
      <c r="C264" s="216" t="s">
        <v>882</v>
      </c>
      <c r="D264" s="216" t="s">
        <v>883</v>
      </c>
      <c r="E264" s="204" t="s">
        <v>634</v>
      </c>
      <c r="F264" s="100">
        <v>6.26048133E8</v>
      </c>
      <c r="G264" s="203"/>
      <c r="H264" s="216">
        <v>1075.0</v>
      </c>
      <c r="I264" s="47" t="s">
        <v>850</v>
      </c>
      <c r="J264" s="185" t="s">
        <v>141</v>
      </c>
      <c r="K264" s="204">
        <v>8.506009561E9</v>
      </c>
      <c r="L264" s="216">
        <v>3000.0</v>
      </c>
      <c r="M264" s="186"/>
      <c r="N264" s="186"/>
      <c r="O264" s="186"/>
      <c r="P264" s="186"/>
      <c r="Q264" s="203"/>
      <c r="R264" s="203"/>
      <c r="S264" s="203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>
      <c r="A265" s="220" t="s">
        <v>477</v>
      </c>
      <c r="B265" s="220" t="s">
        <v>477</v>
      </c>
      <c r="C265" s="220" t="s">
        <v>884</v>
      </c>
      <c r="D265" s="220" t="s">
        <v>885</v>
      </c>
      <c r="E265" s="202" t="s">
        <v>634</v>
      </c>
      <c r="F265" s="100">
        <v>6.26048134E8</v>
      </c>
      <c r="G265" s="209"/>
      <c r="H265" s="220">
        <v>1076.0</v>
      </c>
      <c r="I265" s="74" t="s">
        <v>665</v>
      </c>
      <c r="J265" s="220" t="s">
        <v>141</v>
      </c>
      <c r="K265" s="220">
        <v>8.506009561E9</v>
      </c>
      <c r="L265" s="220">
        <v>3000.0</v>
      </c>
      <c r="M265" s="175"/>
      <c r="N265" s="175"/>
      <c r="O265" s="175"/>
      <c r="P265" s="175"/>
      <c r="Q265" s="209"/>
      <c r="R265" s="209"/>
      <c r="S265" s="209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  <c r="AQ265" s="175"/>
      <c r="AR265" s="175"/>
      <c r="AS265" s="175"/>
      <c r="AT265" s="175"/>
      <c r="AU265" s="175"/>
      <c r="AV265" s="175"/>
      <c r="AW265" s="175"/>
      <c r="AX265" s="175"/>
    </row>
    <row r="266">
      <c r="A266" s="216" t="s">
        <v>477</v>
      </c>
      <c r="B266" s="216" t="s">
        <v>477</v>
      </c>
      <c r="C266" s="216" t="s">
        <v>315</v>
      </c>
      <c r="D266" s="216" t="s">
        <v>484</v>
      </c>
      <c r="E266" s="204" t="s">
        <v>317</v>
      </c>
      <c r="F266" s="216">
        <v>6.26048136E8</v>
      </c>
      <c r="G266" s="203"/>
      <c r="H266" s="185" t="s">
        <v>29</v>
      </c>
      <c r="I266" s="20" t="s">
        <v>63</v>
      </c>
      <c r="J266" s="185" t="s">
        <v>64</v>
      </c>
      <c r="K266" s="185">
        <v>9.779272314E9</v>
      </c>
      <c r="L266" s="216">
        <v>1587.0</v>
      </c>
      <c r="M266" s="186"/>
      <c r="N266" s="186"/>
      <c r="O266" s="186"/>
      <c r="P266" s="186"/>
      <c r="Q266" s="203"/>
      <c r="R266" s="203"/>
      <c r="S266" s="203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>
      <c r="A267" s="220" t="s">
        <v>477</v>
      </c>
      <c r="B267" s="220" t="s">
        <v>477</v>
      </c>
      <c r="C267" s="220" t="s">
        <v>315</v>
      </c>
      <c r="D267" s="220" t="s">
        <v>484</v>
      </c>
      <c r="E267" s="202" t="s">
        <v>317</v>
      </c>
      <c r="F267" s="220">
        <v>6.26048138E8</v>
      </c>
      <c r="G267" s="209"/>
      <c r="H267" s="154" t="s">
        <v>29</v>
      </c>
      <c r="I267" s="20" t="s">
        <v>63</v>
      </c>
      <c r="J267" s="154" t="s">
        <v>64</v>
      </c>
      <c r="K267" s="154">
        <v>9.779272314E9</v>
      </c>
      <c r="L267" s="220">
        <v>550.0</v>
      </c>
      <c r="M267" s="175"/>
      <c r="N267" s="175"/>
      <c r="O267" s="175"/>
      <c r="P267" s="175"/>
      <c r="Q267" s="209"/>
      <c r="R267" s="209"/>
      <c r="S267" s="209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5"/>
      <c r="AS267" s="175"/>
      <c r="AT267" s="175"/>
      <c r="AU267" s="175"/>
      <c r="AV267" s="175"/>
      <c r="AW267" s="175"/>
      <c r="AX267" s="175"/>
    </row>
    <row r="268">
      <c r="A268" s="216"/>
      <c r="B268" s="203"/>
      <c r="C268" s="203"/>
      <c r="D268" s="203"/>
      <c r="E268" s="185"/>
      <c r="F268" s="203"/>
      <c r="G268" s="203"/>
      <c r="H268" s="203"/>
      <c r="K268" s="186"/>
      <c r="L268" s="203"/>
      <c r="M268" s="186"/>
      <c r="N268" s="186"/>
      <c r="O268" s="186"/>
      <c r="P268" s="186"/>
      <c r="Q268" s="203"/>
      <c r="R268" s="203"/>
      <c r="S268" s="203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>
      <c r="A269" s="220"/>
      <c r="B269" s="209"/>
      <c r="C269" s="209"/>
      <c r="D269" s="209"/>
      <c r="E269" s="154"/>
      <c r="F269" s="209"/>
      <c r="G269" s="209"/>
      <c r="H269" s="209"/>
      <c r="K269" s="175"/>
      <c r="L269" s="224">
        <f>SUM(L253:L268)</f>
        <v>44917</v>
      </c>
      <c r="M269" s="175"/>
      <c r="N269" s="175"/>
      <c r="O269" s="175"/>
      <c r="P269" s="175"/>
      <c r="Q269" s="209"/>
      <c r="R269" s="209"/>
      <c r="S269" s="209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5"/>
      <c r="AS269" s="175"/>
      <c r="AT269" s="175"/>
      <c r="AU269" s="175"/>
      <c r="AV269" s="175"/>
      <c r="AW269" s="175"/>
      <c r="AX269" s="175"/>
    </row>
    <row r="270">
      <c r="A270" s="240" t="s">
        <v>485</v>
      </c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9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2"/>
      <c r="AZ270" s="2"/>
      <c r="BA270" s="2"/>
      <c r="BB270" s="2"/>
      <c r="BC270" s="2"/>
      <c r="BD270" s="2"/>
    </row>
    <row r="271" ht="42.0" customHeight="1">
      <c r="A271" s="195" t="s">
        <v>0</v>
      </c>
      <c r="B271" s="195" t="s">
        <v>1</v>
      </c>
      <c r="C271" s="196" t="s">
        <v>2</v>
      </c>
      <c r="D271" s="196" t="s">
        <v>3</v>
      </c>
      <c r="E271" s="196" t="s">
        <v>4</v>
      </c>
      <c r="F271" s="196" t="s">
        <v>642</v>
      </c>
      <c r="G271" s="196" t="s">
        <v>643</v>
      </c>
      <c r="H271" s="196" t="s">
        <v>7</v>
      </c>
      <c r="I271" s="196" t="s">
        <v>8</v>
      </c>
      <c r="J271" s="196" t="s">
        <v>9</v>
      </c>
      <c r="K271" s="197" t="s">
        <v>10</v>
      </c>
      <c r="L271" s="197" t="s">
        <v>644</v>
      </c>
      <c r="M271" s="198" t="s">
        <v>645</v>
      </c>
      <c r="N271" s="196" t="s">
        <v>13</v>
      </c>
      <c r="O271" s="199" t="s">
        <v>14</v>
      </c>
      <c r="P271" s="200" t="s">
        <v>646</v>
      </c>
      <c r="Q271" s="197" t="s">
        <v>647</v>
      </c>
      <c r="R271" s="196" t="s">
        <v>16</v>
      </c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  <c r="BC271" s="201"/>
      <c r="BD271" s="201"/>
    </row>
    <row r="272">
      <c r="A272" s="216" t="s">
        <v>485</v>
      </c>
      <c r="B272" s="216" t="s">
        <v>477</v>
      </c>
      <c r="C272" s="216" t="s">
        <v>886</v>
      </c>
      <c r="D272" s="216" t="s">
        <v>887</v>
      </c>
      <c r="E272" s="204" t="s">
        <v>634</v>
      </c>
      <c r="F272" s="100">
        <v>6.26048131E8</v>
      </c>
      <c r="G272" s="216" t="s">
        <v>888</v>
      </c>
      <c r="H272" s="216">
        <v>6717.0</v>
      </c>
      <c r="I272" s="50" t="s">
        <v>360</v>
      </c>
      <c r="J272" s="185" t="s">
        <v>56</v>
      </c>
      <c r="K272" s="204">
        <v>7.355962044E9</v>
      </c>
      <c r="L272" s="216">
        <v>3000.0</v>
      </c>
      <c r="M272" s="186"/>
      <c r="N272" s="186"/>
      <c r="O272" s="186"/>
      <c r="P272" s="186"/>
      <c r="Q272" s="216">
        <v>250.0</v>
      </c>
      <c r="R272" s="203"/>
      <c r="S272" s="203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>
      <c r="A273" s="220" t="s">
        <v>485</v>
      </c>
      <c r="B273" s="220" t="s">
        <v>477</v>
      </c>
      <c r="C273" s="209" t="s">
        <v>839</v>
      </c>
      <c r="D273" s="220" t="s">
        <v>840</v>
      </c>
      <c r="E273" s="202" t="s">
        <v>634</v>
      </c>
      <c r="F273" s="100">
        <v>6.26048132E8</v>
      </c>
      <c r="G273" s="220" t="s">
        <v>888</v>
      </c>
      <c r="H273" s="209">
        <v>1077.0</v>
      </c>
      <c r="I273" s="52" t="s">
        <v>511</v>
      </c>
      <c r="J273" s="154" t="s">
        <v>141</v>
      </c>
      <c r="K273" s="154">
        <v>8.285997574E9</v>
      </c>
      <c r="L273" s="220">
        <v>3000.0</v>
      </c>
      <c r="M273" s="175"/>
      <c r="N273" s="175"/>
      <c r="O273" s="175"/>
      <c r="P273" s="175"/>
      <c r="Q273" s="220">
        <v>500.0</v>
      </c>
      <c r="R273" s="209"/>
      <c r="S273" s="209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  <c r="AM273" s="175"/>
      <c r="AN273" s="175"/>
      <c r="AO273" s="175"/>
      <c r="AP273" s="175"/>
      <c r="AQ273" s="175"/>
      <c r="AR273" s="175"/>
      <c r="AS273" s="175"/>
      <c r="AT273" s="175"/>
      <c r="AU273" s="175"/>
      <c r="AV273" s="175"/>
      <c r="AW273" s="175"/>
      <c r="AX273" s="175"/>
    </row>
    <row r="274">
      <c r="A274" s="216" t="s">
        <v>485</v>
      </c>
      <c r="B274" s="203" t="s">
        <v>477</v>
      </c>
      <c r="C274" s="203" t="s">
        <v>112</v>
      </c>
      <c r="D274" s="203" t="s">
        <v>422</v>
      </c>
      <c r="E274" s="185" t="s">
        <v>634</v>
      </c>
      <c r="F274" s="98">
        <v>6.26048135E8</v>
      </c>
      <c r="G274" s="216" t="s">
        <v>888</v>
      </c>
      <c r="H274" s="216">
        <v>6719.0</v>
      </c>
      <c r="I274" s="50" t="s">
        <v>124</v>
      </c>
      <c r="J274" s="185" t="s">
        <v>56</v>
      </c>
      <c r="K274" s="204">
        <v>7.290982776E9</v>
      </c>
      <c r="L274" s="216">
        <v>1786.0</v>
      </c>
      <c r="M274" s="186"/>
      <c r="N274" s="186"/>
      <c r="O274" s="186"/>
      <c r="P274" s="186"/>
      <c r="Q274" s="203">
        <v>278.0</v>
      </c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>
      <c r="A275" s="220" t="s">
        <v>485</v>
      </c>
      <c r="B275" s="209" t="s">
        <v>477</v>
      </c>
      <c r="C275" s="209" t="s">
        <v>889</v>
      </c>
      <c r="D275" s="209" t="s">
        <v>890</v>
      </c>
      <c r="E275" s="154" t="s">
        <v>634</v>
      </c>
      <c r="F275" s="98">
        <v>6.26048137E8</v>
      </c>
      <c r="G275" s="209" t="s">
        <v>888</v>
      </c>
      <c r="H275" s="209">
        <v>1078.0</v>
      </c>
      <c r="I275" s="74" t="s">
        <v>891</v>
      </c>
      <c r="J275" s="154" t="s">
        <v>141</v>
      </c>
      <c r="K275" s="202">
        <v>8.423757377E9</v>
      </c>
      <c r="L275" s="202">
        <v>2700.0</v>
      </c>
      <c r="M275" s="175"/>
      <c r="N275" s="175"/>
      <c r="O275" s="175"/>
      <c r="P275" s="175"/>
      <c r="Q275" s="209">
        <v>300.0</v>
      </c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75"/>
      <c r="AI275" s="175"/>
      <c r="AJ275" s="175"/>
      <c r="AK275" s="175"/>
      <c r="AL275" s="175"/>
      <c r="AM275" s="175"/>
      <c r="AN275" s="175"/>
      <c r="AO275" s="175"/>
      <c r="AP275" s="175"/>
      <c r="AQ275" s="175"/>
      <c r="AR275" s="175"/>
      <c r="AS275" s="175"/>
      <c r="AT275" s="175"/>
      <c r="AU275" s="175"/>
      <c r="AV275" s="175"/>
      <c r="AW275" s="175"/>
      <c r="AX275" s="175"/>
    </row>
    <row r="276">
      <c r="A276" s="216" t="s">
        <v>485</v>
      </c>
      <c r="B276" s="216" t="s">
        <v>485</v>
      </c>
      <c r="C276" s="203" t="s">
        <v>815</v>
      </c>
      <c r="D276" s="216" t="s">
        <v>816</v>
      </c>
      <c r="E276" s="204" t="s">
        <v>634</v>
      </c>
      <c r="F276" s="100">
        <v>6.26048144E8</v>
      </c>
      <c r="G276" s="216" t="s">
        <v>892</v>
      </c>
      <c r="H276" s="216">
        <v>6722.0</v>
      </c>
      <c r="I276" s="52" t="s">
        <v>55</v>
      </c>
      <c r="J276" s="249" t="s">
        <v>56</v>
      </c>
      <c r="K276" s="250">
        <v>9.718858411E9</v>
      </c>
      <c r="L276" s="204">
        <v>6000.0</v>
      </c>
      <c r="M276" s="186"/>
      <c r="N276" s="186"/>
      <c r="O276" s="186"/>
      <c r="P276" s="186"/>
      <c r="Q276" s="21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>
      <c r="A277" s="220" t="s">
        <v>485</v>
      </c>
      <c r="B277" s="220" t="s">
        <v>485</v>
      </c>
      <c r="C277" s="220" t="s">
        <v>696</v>
      </c>
      <c r="D277" s="220" t="s">
        <v>697</v>
      </c>
      <c r="E277" s="202" t="s">
        <v>650</v>
      </c>
      <c r="F277" s="100">
        <v>6.26048143E8</v>
      </c>
      <c r="G277" s="220" t="s">
        <v>893</v>
      </c>
      <c r="H277" s="220">
        <v>6723.0</v>
      </c>
      <c r="I277" s="52" t="s">
        <v>55</v>
      </c>
      <c r="J277" s="253" t="s">
        <v>56</v>
      </c>
      <c r="K277" s="254">
        <v>9.718858411E9</v>
      </c>
      <c r="L277" s="202">
        <v>3060.0</v>
      </c>
      <c r="M277" s="175"/>
      <c r="N277" s="175"/>
      <c r="O277" s="175"/>
      <c r="P277" s="175"/>
      <c r="Q277" s="220">
        <v>455.0</v>
      </c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75"/>
      <c r="AI277" s="175"/>
      <c r="AJ277" s="175"/>
      <c r="AK277" s="175"/>
      <c r="AL277" s="175"/>
      <c r="AM277" s="175"/>
      <c r="AN277" s="175"/>
      <c r="AO277" s="175"/>
      <c r="AP277" s="175"/>
      <c r="AQ277" s="175"/>
      <c r="AR277" s="175"/>
      <c r="AS277" s="175"/>
      <c r="AT277" s="175"/>
      <c r="AU277" s="175"/>
      <c r="AV277" s="175"/>
      <c r="AW277" s="175"/>
      <c r="AX277" s="175"/>
    </row>
    <row r="278">
      <c r="A278" s="216" t="s">
        <v>485</v>
      </c>
      <c r="B278" s="216" t="s">
        <v>485</v>
      </c>
      <c r="C278" s="216" t="s">
        <v>894</v>
      </c>
      <c r="D278" s="216" t="s">
        <v>699</v>
      </c>
      <c r="E278" s="185" t="s">
        <v>634</v>
      </c>
      <c r="F278" s="100">
        <v>6.2604814E8</v>
      </c>
      <c r="G278" s="216" t="s">
        <v>888</v>
      </c>
      <c r="H278" s="216">
        <v>1079.0</v>
      </c>
      <c r="I278" s="47" t="s">
        <v>826</v>
      </c>
      <c r="J278" s="185" t="s">
        <v>141</v>
      </c>
      <c r="K278" s="204">
        <v>7.530893252E9</v>
      </c>
      <c r="L278" s="204">
        <v>3000.0</v>
      </c>
      <c r="M278" s="186"/>
      <c r="N278" s="186"/>
      <c r="O278" s="186"/>
      <c r="P278" s="186"/>
      <c r="Q278" s="216">
        <v>250.0</v>
      </c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>
      <c r="A279" s="220"/>
      <c r="B279" s="209"/>
      <c r="C279" s="209"/>
      <c r="D279" s="209"/>
      <c r="E279" s="154"/>
      <c r="F279" s="220"/>
      <c r="G279" s="209"/>
      <c r="H279" s="209"/>
      <c r="K279" s="175"/>
      <c r="L279" s="202"/>
      <c r="M279" s="175"/>
      <c r="N279" s="175"/>
      <c r="O279" s="175"/>
      <c r="P279" s="175"/>
      <c r="Q279" s="209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  <c r="AJ279" s="175"/>
      <c r="AK279" s="175"/>
      <c r="AL279" s="175"/>
      <c r="AM279" s="175"/>
      <c r="AN279" s="175"/>
      <c r="AO279" s="175"/>
      <c r="AP279" s="175"/>
      <c r="AQ279" s="175"/>
      <c r="AR279" s="175"/>
      <c r="AS279" s="175"/>
      <c r="AT279" s="175"/>
      <c r="AU279" s="175"/>
      <c r="AV279" s="175"/>
      <c r="AW279" s="175"/>
      <c r="AX279" s="175"/>
    </row>
    <row r="280">
      <c r="A280" s="216"/>
      <c r="B280" s="203"/>
      <c r="C280" s="203"/>
      <c r="D280" s="203"/>
      <c r="E280" s="185"/>
      <c r="F280" s="203"/>
      <c r="G280" s="203"/>
      <c r="K280" s="186"/>
      <c r="L280" s="262">
        <f>SUM(L272:L279)</f>
        <v>22546</v>
      </c>
      <c r="M280" s="186"/>
      <c r="N280" s="186"/>
      <c r="O280" s="186"/>
      <c r="P280" s="186"/>
      <c r="Q280" s="203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</row>
    <row r="281">
      <c r="A281" s="240" t="s">
        <v>495</v>
      </c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6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  <c r="AH281" s="175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5"/>
      <c r="AS281" s="175"/>
      <c r="AT281" s="175"/>
      <c r="AU281" s="175"/>
      <c r="AV281" s="175"/>
      <c r="AW281" s="175"/>
      <c r="AX281" s="175"/>
      <c r="AY281" s="2"/>
      <c r="AZ281" s="2"/>
      <c r="BA281" s="2"/>
      <c r="BB281" s="2"/>
      <c r="BC281" s="2"/>
      <c r="BD281" s="2"/>
    </row>
    <row r="282" ht="42.0" customHeight="1">
      <c r="A282" s="195" t="s">
        <v>0</v>
      </c>
      <c r="B282" s="195" t="s">
        <v>1</v>
      </c>
      <c r="C282" s="196" t="s">
        <v>2</v>
      </c>
      <c r="D282" s="196" t="s">
        <v>3</v>
      </c>
      <c r="E282" s="196" t="s">
        <v>4</v>
      </c>
      <c r="F282" s="196" t="s">
        <v>642</v>
      </c>
      <c r="G282" s="196" t="s">
        <v>643</v>
      </c>
      <c r="H282" s="196" t="s">
        <v>7</v>
      </c>
      <c r="I282" s="196" t="s">
        <v>8</v>
      </c>
      <c r="J282" s="196" t="s">
        <v>9</v>
      </c>
      <c r="K282" s="197" t="s">
        <v>10</v>
      </c>
      <c r="L282" s="197" t="s">
        <v>644</v>
      </c>
      <c r="M282" s="198" t="s">
        <v>645</v>
      </c>
      <c r="N282" s="196" t="s">
        <v>13</v>
      </c>
      <c r="O282" s="199" t="s">
        <v>14</v>
      </c>
      <c r="P282" s="200" t="s">
        <v>646</v>
      </c>
      <c r="Q282" s="197" t="s">
        <v>647</v>
      </c>
      <c r="R282" s="196" t="s">
        <v>16</v>
      </c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201"/>
      <c r="AV282" s="201"/>
      <c r="AW282" s="201"/>
      <c r="AX282" s="201"/>
      <c r="AY282" s="201"/>
      <c r="AZ282" s="201"/>
      <c r="BA282" s="201"/>
      <c r="BB282" s="201"/>
      <c r="BC282" s="201"/>
      <c r="BD282" s="201"/>
    </row>
    <row r="283">
      <c r="A283" s="220" t="s">
        <v>495</v>
      </c>
      <c r="B283" s="220" t="s">
        <v>485</v>
      </c>
      <c r="C283" s="209" t="s">
        <v>760</v>
      </c>
      <c r="D283" s="209" t="s">
        <v>761</v>
      </c>
      <c r="E283" s="154" t="s">
        <v>634</v>
      </c>
      <c r="F283" s="98">
        <v>6.26048147E8</v>
      </c>
      <c r="G283" s="209" t="s">
        <v>869</v>
      </c>
      <c r="H283" s="220">
        <v>1080.0</v>
      </c>
      <c r="I283" s="47" t="s">
        <v>803</v>
      </c>
      <c r="J283" s="154" t="s">
        <v>141</v>
      </c>
      <c r="K283" s="202">
        <v>8.882065568E9</v>
      </c>
      <c r="L283" s="209">
        <v>3000.0</v>
      </c>
      <c r="M283" s="211"/>
      <c r="N283" s="211"/>
      <c r="O283" s="211"/>
      <c r="P283" s="211"/>
      <c r="Q283" s="209">
        <v>300.0</v>
      </c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  <c r="AJ283" s="175"/>
      <c r="AK283" s="175"/>
      <c r="AL283" s="175"/>
      <c r="AM283" s="175"/>
      <c r="AN283" s="175"/>
      <c r="AO283" s="175"/>
      <c r="AP283" s="175"/>
      <c r="AQ283" s="175"/>
      <c r="AR283" s="175"/>
      <c r="AS283" s="175"/>
      <c r="AT283" s="175"/>
      <c r="AU283" s="175"/>
      <c r="AV283" s="175"/>
      <c r="AW283" s="175"/>
      <c r="AX283" s="175"/>
    </row>
    <row r="284">
      <c r="A284" s="216" t="s">
        <v>495</v>
      </c>
      <c r="B284" s="216" t="s">
        <v>485</v>
      </c>
      <c r="C284" s="203" t="s">
        <v>740</v>
      </c>
      <c r="D284" s="216" t="s">
        <v>895</v>
      </c>
      <c r="E284" s="185" t="s">
        <v>634</v>
      </c>
      <c r="F284" s="98">
        <v>6.26048146E8</v>
      </c>
      <c r="G284" s="203" t="s">
        <v>869</v>
      </c>
      <c r="H284" s="216">
        <v>1081.0</v>
      </c>
      <c r="I284" s="52" t="s">
        <v>511</v>
      </c>
      <c r="J284" s="185" t="s">
        <v>141</v>
      </c>
      <c r="K284" s="185">
        <v>8.285997574E9</v>
      </c>
      <c r="L284" s="216">
        <v>3000.0</v>
      </c>
      <c r="M284" s="215"/>
      <c r="N284" s="215"/>
      <c r="O284" s="215"/>
      <c r="P284" s="215"/>
      <c r="Q284" s="203">
        <v>500.0</v>
      </c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</row>
    <row r="285">
      <c r="A285" s="220" t="s">
        <v>495</v>
      </c>
      <c r="B285" s="220" t="s">
        <v>485</v>
      </c>
      <c r="C285" s="209" t="s">
        <v>724</v>
      </c>
      <c r="D285" s="220" t="s">
        <v>896</v>
      </c>
      <c r="E285" s="154" t="s">
        <v>634</v>
      </c>
      <c r="F285" s="98">
        <v>6.26048145E8</v>
      </c>
      <c r="G285" s="220" t="s">
        <v>897</v>
      </c>
      <c r="H285" s="220">
        <v>6727.0</v>
      </c>
      <c r="I285" s="50" t="s">
        <v>360</v>
      </c>
      <c r="J285" s="154" t="s">
        <v>56</v>
      </c>
      <c r="K285" s="202">
        <v>7.355962044E9</v>
      </c>
      <c r="L285" s="209">
        <v>3900.0</v>
      </c>
      <c r="M285" s="211"/>
      <c r="N285" s="211"/>
      <c r="O285" s="211"/>
      <c r="P285" s="211"/>
      <c r="Q285" s="209">
        <v>400.0</v>
      </c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75"/>
      <c r="AI285" s="175"/>
      <c r="AJ285" s="175"/>
      <c r="AK285" s="175"/>
      <c r="AL285" s="175"/>
      <c r="AM285" s="175"/>
      <c r="AN285" s="175"/>
      <c r="AO285" s="175"/>
      <c r="AP285" s="175"/>
      <c r="AQ285" s="175"/>
      <c r="AR285" s="175"/>
      <c r="AS285" s="175"/>
      <c r="AT285" s="175"/>
      <c r="AU285" s="175"/>
      <c r="AV285" s="175"/>
      <c r="AW285" s="175"/>
      <c r="AX285" s="175"/>
    </row>
    <row r="286">
      <c r="A286" s="216" t="s">
        <v>495</v>
      </c>
      <c r="B286" s="203" t="s">
        <v>485</v>
      </c>
      <c r="C286" s="203" t="s">
        <v>898</v>
      </c>
      <c r="D286" s="216" t="s">
        <v>899</v>
      </c>
      <c r="E286" s="185" t="s">
        <v>634</v>
      </c>
      <c r="F286" s="98">
        <v>6.26048152E8</v>
      </c>
      <c r="G286" s="216" t="s">
        <v>897</v>
      </c>
      <c r="H286" s="216">
        <v>6724.0</v>
      </c>
      <c r="I286" s="20" t="s">
        <v>127</v>
      </c>
      <c r="J286" s="185" t="s">
        <v>56</v>
      </c>
      <c r="K286" s="185">
        <v>8.826871385E9</v>
      </c>
      <c r="L286" s="203">
        <f>2620+58+58</f>
        <v>2736</v>
      </c>
      <c r="M286" s="215"/>
      <c r="N286" s="186"/>
      <c r="O286" s="186"/>
      <c r="P286" s="186"/>
      <c r="Q286" s="204">
        <v>540.0</v>
      </c>
      <c r="R286" s="263" t="s">
        <v>900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7"/>
      <c r="AZ286" s="7"/>
      <c r="BA286" s="7"/>
      <c r="BB286" s="7"/>
      <c r="BC286" s="7"/>
      <c r="BD286" s="7"/>
    </row>
    <row r="287">
      <c r="A287" s="220" t="s">
        <v>495</v>
      </c>
      <c r="B287" s="220" t="s">
        <v>485</v>
      </c>
      <c r="C287" s="220" t="s">
        <v>901</v>
      </c>
      <c r="D287" s="220" t="s">
        <v>902</v>
      </c>
      <c r="E287" s="154" t="s">
        <v>634</v>
      </c>
      <c r="F287" s="100">
        <v>6.26048141E8</v>
      </c>
      <c r="G287" s="220" t="s">
        <v>897</v>
      </c>
      <c r="H287" s="220">
        <v>6725.0</v>
      </c>
      <c r="I287" s="20" t="s">
        <v>127</v>
      </c>
      <c r="J287" s="154" t="s">
        <v>56</v>
      </c>
      <c r="K287" s="154">
        <v>8.826871385E9</v>
      </c>
      <c r="L287" s="202">
        <v>3000.0</v>
      </c>
      <c r="M287" s="175"/>
      <c r="N287" s="175"/>
      <c r="O287" s="175"/>
      <c r="P287" s="175"/>
      <c r="Q287" s="220">
        <v>250.0</v>
      </c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  <c r="AT287" s="175"/>
      <c r="AU287" s="175"/>
      <c r="AV287" s="175"/>
      <c r="AW287" s="175"/>
      <c r="AX287" s="175"/>
    </row>
    <row r="288">
      <c r="A288" s="216" t="s">
        <v>495</v>
      </c>
      <c r="B288" s="216" t="s">
        <v>485</v>
      </c>
      <c r="C288" s="216" t="s">
        <v>801</v>
      </c>
      <c r="D288" s="216" t="s">
        <v>841</v>
      </c>
      <c r="E288" s="185" t="s">
        <v>634</v>
      </c>
      <c r="F288" s="100">
        <v>6.26048142E8</v>
      </c>
      <c r="G288" s="216" t="s">
        <v>897</v>
      </c>
      <c r="H288" s="216">
        <v>6726.0</v>
      </c>
      <c r="I288" s="50" t="s">
        <v>124</v>
      </c>
      <c r="J288" s="185" t="s">
        <v>56</v>
      </c>
      <c r="K288" s="204">
        <v>7.290982776E9</v>
      </c>
      <c r="L288" s="204">
        <v>3000.0</v>
      </c>
      <c r="M288" s="186"/>
      <c r="N288" s="186"/>
      <c r="O288" s="186"/>
      <c r="P288" s="186"/>
      <c r="Q288" s="216">
        <v>250.0</v>
      </c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</row>
    <row r="289">
      <c r="A289" s="220" t="s">
        <v>495</v>
      </c>
      <c r="B289" s="209" t="s">
        <v>485</v>
      </c>
      <c r="C289" s="209" t="s">
        <v>855</v>
      </c>
      <c r="D289" s="209" t="s">
        <v>856</v>
      </c>
      <c r="E289" s="154" t="s">
        <v>634</v>
      </c>
      <c r="F289" s="98">
        <v>6.26048163E8</v>
      </c>
      <c r="G289" s="220" t="s">
        <v>897</v>
      </c>
      <c r="H289" s="220">
        <v>6728.0</v>
      </c>
      <c r="I289" s="52" t="s">
        <v>114</v>
      </c>
      <c r="J289" s="154" t="s">
        <v>56</v>
      </c>
      <c r="K289" s="154">
        <v>9.956958533E9</v>
      </c>
      <c r="L289" s="209">
        <v>3000.0</v>
      </c>
      <c r="M289" s="175"/>
      <c r="N289" s="175"/>
      <c r="O289" s="175"/>
      <c r="P289" s="175"/>
      <c r="Q289" s="209">
        <v>500.0</v>
      </c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  <c r="AJ289" s="175"/>
      <c r="AK289" s="175"/>
      <c r="AL289" s="175"/>
      <c r="AM289" s="175"/>
      <c r="AN289" s="175"/>
      <c r="AO289" s="175"/>
      <c r="AP289" s="175"/>
      <c r="AQ289" s="175"/>
      <c r="AR289" s="175"/>
      <c r="AS289" s="175"/>
      <c r="AT289" s="175"/>
      <c r="AU289" s="175"/>
      <c r="AV289" s="175"/>
      <c r="AW289" s="175"/>
      <c r="AX289" s="175"/>
    </row>
    <row r="290">
      <c r="A290" s="216" t="s">
        <v>495</v>
      </c>
      <c r="B290" s="203" t="s">
        <v>485</v>
      </c>
      <c r="C290" s="203" t="s">
        <v>855</v>
      </c>
      <c r="D290" s="203" t="s">
        <v>856</v>
      </c>
      <c r="E290" s="185" t="s">
        <v>634</v>
      </c>
      <c r="F290" s="98">
        <v>6.26048158E8</v>
      </c>
      <c r="G290" s="203" t="s">
        <v>903</v>
      </c>
      <c r="H290" s="216">
        <v>6728.0</v>
      </c>
      <c r="I290" s="52" t="s">
        <v>114</v>
      </c>
      <c r="J290" s="185" t="s">
        <v>56</v>
      </c>
      <c r="K290" s="185">
        <v>9.956958533E9</v>
      </c>
      <c r="L290" s="203">
        <v>3000.0</v>
      </c>
      <c r="M290" s="186"/>
      <c r="N290" s="186"/>
      <c r="O290" s="186"/>
      <c r="P290" s="186"/>
      <c r="Q290" s="203">
        <v>500.0</v>
      </c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</row>
    <row r="291">
      <c r="A291" s="220" t="s">
        <v>495</v>
      </c>
      <c r="B291" s="220" t="s">
        <v>485</v>
      </c>
      <c r="C291" s="209" t="s">
        <v>735</v>
      </c>
      <c r="D291" s="209" t="s">
        <v>736</v>
      </c>
      <c r="E291" s="154" t="s">
        <v>634</v>
      </c>
      <c r="F291" s="98">
        <v>6.26048148E8</v>
      </c>
      <c r="G291" s="209" t="s">
        <v>869</v>
      </c>
      <c r="H291" s="220">
        <v>1082.0</v>
      </c>
      <c r="I291" s="74" t="s">
        <v>665</v>
      </c>
      <c r="J291" s="220" t="s">
        <v>141</v>
      </c>
      <c r="K291" s="220">
        <v>8.506009561E9</v>
      </c>
      <c r="L291" s="209">
        <v>2760.0</v>
      </c>
      <c r="M291" s="211"/>
      <c r="N291" s="211"/>
      <c r="O291" s="211"/>
      <c r="P291" s="211"/>
      <c r="Q291" s="209">
        <v>290.0</v>
      </c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  <c r="AJ291" s="175"/>
      <c r="AK291" s="175"/>
      <c r="AL291" s="175"/>
      <c r="AM291" s="175"/>
      <c r="AN291" s="175"/>
      <c r="AO291" s="175"/>
      <c r="AP291" s="175"/>
      <c r="AQ291" s="175"/>
      <c r="AR291" s="175"/>
      <c r="AS291" s="175"/>
      <c r="AT291" s="175"/>
      <c r="AU291" s="175"/>
      <c r="AV291" s="175"/>
      <c r="AW291" s="175"/>
      <c r="AX291" s="175"/>
    </row>
    <row r="292">
      <c r="A292" s="216" t="s">
        <v>495</v>
      </c>
      <c r="B292" s="203" t="s">
        <v>485</v>
      </c>
      <c r="C292" s="203" t="s">
        <v>763</v>
      </c>
      <c r="D292" s="203" t="s">
        <v>764</v>
      </c>
      <c r="E292" s="185" t="s">
        <v>634</v>
      </c>
      <c r="F292" s="98">
        <v>6.26048155E8</v>
      </c>
      <c r="G292" s="203" t="s">
        <v>869</v>
      </c>
      <c r="H292" s="216">
        <v>1084.0</v>
      </c>
      <c r="I292" s="47" t="s">
        <v>846</v>
      </c>
      <c r="J292" s="185" t="s">
        <v>141</v>
      </c>
      <c r="K292" s="204">
        <v>8.506009561E9</v>
      </c>
      <c r="L292" s="203">
        <v>3000.0</v>
      </c>
      <c r="M292" s="186"/>
      <c r="N292" s="186"/>
      <c r="O292" s="186"/>
      <c r="P292" s="186"/>
      <c r="Q292" s="203">
        <v>500.0</v>
      </c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>
      <c r="A293" s="85" t="s">
        <v>495</v>
      </c>
      <c r="B293" s="87" t="s">
        <v>485</v>
      </c>
      <c r="C293" s="87" t="s">
        <v>848</v>
      </c>
      <c r="D293" s="87" t="s">
        <v>904</v>
      </c>
      <c r="E293" s="88" t="s">
        <v>634</v>
      </c>
      <c r="F293" s="87">
        <v>6.26048164E8</v>
      </c>
      <c r="G293" s="87" t="s">
        <v>869</v>
      </c>
      <c r="H293" s="85">
        <v>1083.0</v>
      </c>
      <c r="I293" s="87" t="s">
        <v>711</v>
      </c>
      <c r="J293" s="88" t="s">
        <v>141</v>
      </c>
      <c r="K293" s="131">
        <v>8.527548248E9</v>
      </c>
      <c r="L293" s="85">
        <v>3000.0</v>
      </c>
      <c r="M293" s="134"/>
      <c r="N293" s="134"/>
      <c r="O293" s="134"/>
      <c r="P293" s="134"/>
      <c r="Q293" s="87">
        <v>400.0</v>
      </c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  <c r="AO293" s="134"/>
      <c r="AP293" s="134"/>
      <c r="AQ293" s="134"/>
      <c r="AR293" s="134"/>
      <c r="AS293" s="134"/>
      <c r="AT293" s="134"/>
      <c r="AU293" s="134"/>
      <c r="AV293" s="134"/>
      <c r="AW293" s="134"/>
      <c r="AX293" s="134"/>
      <c r="AY293" s="146"/>
      <c r="AZ293" s="146"/>
      <c r="BA293" s="146"/>
      <c r="BB293" s="146"/>
      <c r="BC293" s="146"/>
      <c r="BD293" s="146"/>
    </row>
    <row r="294">
      <c r="A294" s="216" t="s">
        <v>495</v>
      </c>
      <c r="B294" s="203" t="s">
        <v>485</v>
      </c>
      <c r="C294" s="203" t="s">
        <v>669</v>
      </c>
      <c r="D294" s="203" t="s">
        <v>670</v>
      </c>
      <c r="E294" s="185" t="s">
        <v>634</v>
      </c>
      <c r="F294" s="98">
        <v>6.26048156E8</v>
      </c>
      <c r="G294" s="203" t="s">
        <v>869</v>
      </c>
      <c r="H294" s="216">
        <v>1087.0</v>
      </c>
      <c r="I294" s="74" t="s">
        <v>905</v>
      </c>
      <c r="J294" s="185" t="s">
        <v>141</v>
      </c>
      <c r="K294" s="204">
        <v>8.423757377E9</v>
      </c>
      <c r="L294" s="203">
        <v>3000.0</v>
      </c>
      <c r="M294" s="186"/>
      <c r="N294" s="186"/>
      <c r="O294" s="186"/>
      <c r="P294" s="186"/>
      <c r="Q294" s="203">
        <v>250.0</v>
      </c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>
      <c r="A295" s="220" t="s">
        <v>495</v>
      </c>
      <c r="B295" s="209" t="s">
        <v>485</v>
      </c>
      <c r="C295" s="209" t="s">
        <v>906</v>
      </c>
      <c r="D295" s="209" t="s">
        <v>907</v>
      </c>
      <c r="E295" s="154" t="s">
        <v>634</v>
      </c>
      <c r="F295" s="98">
        <v>6.26048154E8</v>
      </c>
      <c r="G295" s="209" t="s">
        <v>869</v>
      </c>
      <c r="H295" s="220">
        <v>1086.0</v>
      </c>
      <c r="I295" s="74" t="s">
        <v>908</v>
      </c>
      <c r="J295" s="154" t="s">
        <v>141</v>
      </c>
      <c r="K295" s="202">
        <v>9.319618305E9</v>
      </c>
      <c r="L295" s="209">
        <v>3000.0</v>
      </c>
      <c r="M295" s="175"/>
      <c r="N295" s="175"/>
      <c r="O295" s="175"/>
      <c r="P295" s="175"/>
      <c r="Q295" s="209">
        <v>450.0</v>
      </c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  <c r="AI295" s="175"/>
      <c r="AJ295" s="175"/>
      <c r="AK295" s="175"/>
      <c r="AL295" s="175"/>
      <c r="AM295" s="175"/>
      <c r="AN295" s="175"/>
      <c r="AO295" s="175"/>
      <c r="AP295" s="175"/>
      <c r="AQ295" s="175"/>
      <c r="AR295" s="175"/>
      <c r="AS295" s="175"/>
      <c r="AT295" s="175"/>
      <c r="AU295" s="175"/>
      <c r="AV295" s="175"/>
      <c r="AW295" s="175"/>
      <c r="AX295" s="175"/>
    </row>
    <row r="296">
      <c r="A296" s="216" t="s">
        <v>495</v>
      </c>
      <c r="B296" s="203" t="s">
        <v>485</v>
      </c>
      <c r="C296" s="203" t="s">
        <v>909</v>
      </c>
      <c r="D296" s="203" t="s">
        <v>910</v>
      </c>
      <c r="E296" s="185" t="s">
        <v>634</v>
      </c>
      <c r="F296" s="98">
        <v>6.26048161E8</v>
      </c>
      <c r="G296" s="203" t="s">
        <v>869</v>
      </c>
      <c r="H296" s="216">
        <v>1088.0</v>
      </c>
      <c r="I296" s="74" t="s">
        <v>911</v>
      </c>
      <c r="J296" s="185" t="s">
        <v>141</v>
      </c>
      <c r="K296" s="204">
        <v>7.530893252E9</v>
      </c>
      <c r="L296" s="203">
        <v>3000.0</v>
      </c>
      <c r="M296" s="186"/>
      <c r="N296" s="186"/>
      <c r="O296" s="186"/>
      <c r="P296" s="186"/>
      <c r="Q296" s="203">
        <v>500.0</v>
      </c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</row>
    <row r="297">
      <c r="A297" s="220" t="s">
        <v>495</v>
      </c>
      <c r="B297" s="209" t="s">
        <v>485</v>
      </c>
      <c r="C297" s="209" t="s">
        <v>912</v>
      </c>
      <c r="D297" s="220" t="s">
        <v>913</v>
      </c>
      <c r="E297" s="154" t="s">
        <v>634</v>
      </c>
      <c r="F297" s="171">
        <v>6.26048153E8</v>
      </c>
      <c r="G297" s="209" t="s">
        <v>869</v>
      </c>
      <c r="H297" s="154" t="s">
        <v>29</v>
      </c>
      <c r="I297" s="20" t="s">
        <v>63</v>
      </c>
      <c r="J297" s="154" t="s">
        <v>64</v>
      </c>
      <c r="K297" s="154">
        <v>9.779272314E9</v>
      </c>
      <c r="L297" s="209">
        <v>3000.0</v>
      </c>
      <c r="M297" s="175"/>
      <c r="N297" s="175"/>
      <c r="O297" s="175"/>
      <c r="P297" s="175"/>
      <c r="Q297" s="209">
        <v>500.0</v>
      </c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  <c r="AI297" s="175"/>
      <c r="AJ297" s="175"/>
      <c r="AK297" s="175"/>
      <c r="AL297" s="175"/>
      <c r="AM297" s="175"/>
      <c r="AN297" s="175"/>
      <c r="AO297" s="175"/>
      <c r="AP297" s="175"/>
      <c r="AQ297" s="175"/>
      <c r="AR297" s="175"/>
      <c r="AS297" s="175"/>
      <c r="AT297" s="175"/>
      <c r="AU297" s="175"/>
      <c r="AV297" s="175"/>
      <c r="AW297" s="175"/>
      <c r="AX297" s="175"/>
    </row>
    <row r="298">
      <c r="A298" s="216" t="s">
        <v>495</v>
      </c>
      <c r="B298" s="203" t="s">
        <v>485</v>
      </c>
      <c r="C298" s="203" t="s">
        <v>758</v>
      </c>
      <c r="D298" s="216" t="s">
        <v>914</v>
      </c>
      <c r="E298" s="185" t="s">
        <v>634</v>
      </c>
      <c r="F298" s="171">
        <v>6.26048165E8</v>
      </c>
      <c r="G298" s="216" t="s">
        <v>915</v>
      </c>
      <c r="H298" s="204" t="s">
        <v>29</v>
      </c>
      <c r="I298" s="20" t="s">
        <v>30</v>
      </c>
      <c r="J298" s="185" t="s">
        <v>31</v>
      </c>
      <c r="K298" s="185">
        <v>9.872987038E9</v>
      </c>
      <c r="L298" s="203">
        <v>3000.0</v>
      </c>
      <c r="M298" s="186"/>
      <c r="N298" s="186"/>
      <c r="O298" s="186"/>
      <c r="P298" s="186"/>
      <c r="Q298" s="203">
        <v>500.0</v>
      </c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</row>
    <row r="299">
      <c r="A299" s="220" t="s">
        <v>495</v>
      </c>
      <c r="B299" s="209" t="s">
        <v>485</v>
      </c>
      <c r="C299" s="209" t="s">
        <v>758</v>
      </c>
      <c r="D299" s="220" t="s">
        <v>914</v>
      </c>
      <c r="E299" s="154" t="s">
        <v>634</v>
      </c>
      <c r="F299" s="171">
        <v>6.26048166E8</v>
      </c>
      <c r="G299" s="220" t="s">
        <v>915</v>
      </c>
      <c r="H299" s="202" t="s">
        <v>29</v>
      </c>
      <c r="I299" s="20" t="s">
        <v>30</v>
      </c>
      <c r="J299" s="154" t="s">
        <v>31</v>
      </c>
      <c r="K299" s="154">
        <v>9.872987038E9</v>
      </c>
      <c r="L299" s="209">
        <v>3000.0</v>
      </c>
      <c r="M299" s="175"/>
      <c r="N299" s="175"/>
      <c r="O299" s="175"/>
      <c r="P299" s="175"/>
      <c r="Q299" s="209">
        <v>500.0</v>
      </c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5"/>
      <c r="AS299" s="175"/>
      <c r="AT299" s="175"/>
      <c r="AU299" s="175"/>
      <c r="AV299" s="175"/>
      <c r="AW299" s="175"/>
      <c r="AX299" s="175"/>
    </row>
    <row r="300">
      <c r="A300" s="216" t="s">
        <v>495</v>
      </c>
      <c r="B300" s="203" t="s">
        <v>485</v>
      </c>
      <c r="C300" s="203" t="s">
        <v>758</v>
      </c>
      <c r="D300" s="216" t="s">
        <v>914</v>
      </c>
      <c r="E300" s="185" t="s">
        <v>634</v>
      </c>
      <c r="F300" s="171">
        <v>6.26048167E8</v>
      </c>
      <c r="G300" s="216" t="s">
        <v>915</v>
      </c>
      <c r="H300" s="204" t="s">
        <v>29</v>
      </c>
      <c r="I300" s="20" t="s">
        <v>30</v>
      </c>
      <c r="J300" s="185" t="s">
        <v>31</v>
      </c>
      <c r="K300" s="185">
        <v>9.872987038E9</v>
      </c>
      <c r="L300" s="203">
        <v>3000.0</v>
      </c>
      <c r="M300" s="186"/>
      <c r="N300" s="186"/>
      <c r="O300" s="186"/>
      <c r="P300" s="186"/>
      <c r="Q300" s="203">
        <v>500.0</v>
      </c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</row>
    <row r="301">
      <c r="A301" s="220" t="s">
        <v>495</v>
      </c>
      <c r="B301" s="209" t="s">
        <v>485</v>
      </c>
      <c r="C301" s="209" t="s">
        <v>758</v>
      </c>
      <c r="D301" s="220" t="s">
        <v>914</v>
      </c>
      <c r="E301" s="154" t="s">
        <v>634</v>
      </c>
      <c r="F301" s="171">
        <v>6.26048168E8</v>
      </c>
      <c r="G301" s="220" t="s">
        <v>915</v>
      </c>
      <c r="H301" s="202" t="s">
        <v>29</v>
      </c>
      <c r="I301" s="20" t="s">
        <v>30</v>
      </c>
      <c r="J301" s="154" t="s">
        <v>31</v>
      </c>
      <c r="K301" s="154">
        <v>9.872987038E9</v>
      </c>
      <c r="L301" s="209">
        <v>3000.0</v>
      </c>
      <c r="M301" s="175"/>
      <c r="N301" s="175"/>
      <c r="O301" s="175"/>
      <c r="P301" s="175"/>
      <c r="Q301" s="209">
        <v>500.0</v>
      </c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  <c r="AJ301" s="175"/>
      <c r="AK301" s="175"/>
      <c r="AL301" s="175"/>
      <c r="AM301" s="175"/>
      <c r="AN301" s="175"/>
      <c r="AO301" s="175"/>
      <c r="AP301" s="175"/>
      <c r="AQ301" s="175"/>
      <c r="AR301" s="175"/>
      <c r="AS301" s="175"/>
      <c r="AT301" s="175"/>
      <c r="AU301" s="175"/>
      <c r="AV301" s="175"/>
      <c r="AW301" s="175"/>
      <c r="AX301" s="175"/>
    </row>
    <row r="302">
      <c r="A302" s="216" t="s">
        <v>495</v>
      </c>
      <c r="B302" s="203" t="s">
        <v>485</v>
      </c>
      <c r="C302" s="203" t="s">
        <v>758</v>
      </c>
      <c r="D302" s="216" t="s">
        <v>914</v>
      </c>
      <c r="E302" s="185" t="s">
        <v>634</v>
      </c>
      <c r="F302" s="171">
        <v>6.26048169E8</v>
      </c>
      <c r="G302" s="216" t="s">
        <v>915</v>
      </c>
      <c r="H302" s="204" t="s">
        <v>29</v>
      </c>
      <c r="I302" s="20" t="s">
        <v>30</v>
      </c>
      <c r="J302" s="185" t="s">
        <v>31</v>
      </c>
      <c r="K302" s="185">
        <v>9.872987038E9</v>
      </c>
      <c r="L302" s="203">
        <v>3000.0</v>
      </c>
      <c r="M302" s="186"/>
      <c r="N302" s="186"/>
      <c r="O302" s="186"/>
      <c r="P302" s="186"/>
      <c r="Q302" s="203">
        <v>500.0</v>
      </c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</row>
    <row r="303">
      <c r="A303" s="220" t="s">
        <v>495</v>
      </c>
      <c r="B303" s="209" t="s">
        <v>485</v>
      </c>
      <c r="C303" s="209" t="s">
        <v>758</v>
      </c>
      <c r="D303" s="220" t="s">
        <v>914</v>
      </c>
      <c r="E303" s="154" t="s">
        <v>634</v>
      </c>
      <c r="F303" s="171">
        <v>6.2604817E8</v>
      </c>
      <c r="G303" s="220" t="s">
        <v>915</v>
      </c>
      <c r="H303" s="202" t="s">
        <v>29</v>
      </c>
      <c r="I303" s="20" t="s">
        <v>30</v>
      </c>
      <c r="J303" s="154" t="s">
        <v>31</v>
      </c>
      <c r="K303" s="154">
        <v>9.872987038E9</v>
      </c>
      <c r="L303" s="209">
        <v>3000.0</v>
      </c>
      <c r="M303" s="175"/>
      <c r="N303" s="175"/>
      <c r="O303" s="175"/>
      <c r="P303" s="175"/>
      <c r="Q303" s="209">
        <v>500.0</v>
      </c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  <c r="AJ303" s="175"/>
      <c r="AK303" s="175"/>
      <c r="AL303" s="175"/>
      <c r="AM303" s="175"/>
      <c r="AN303" s="175"/>
      <c r="AO303" s="175"/>
      <c r="AP303" s="175"/>
      <c r="AQ303" s="175"/>
      <c r="AR303" s="175"/>
      <c r="AS303" s="175"/>
      <c r="AT303" s="175"/>
      <c r="AU303" s="175"/>
      <c r="AV303" s="175"/>
      <c r="AW303" s="175"/>
      <c r="AX303" s="175"/>
    </row>
    <row r="304">
      <c r="A304" s="216" t="s">
        <v>495</v>
      </c>
      <c r="B304" s="203" t="s">
        <v>485</v>
      </c>
      <c r="C304" s="203" t="s">
        <v>758</v>
      </c>
      <c r="D304" s="216" t="s">
        <v>914</v>
      </c>
      <c r="E304" s="185" t="s">
        <v>634</v>
      </c>
      <c r="F304" s="171">
        <v>6.26048159E8</v>
      </c>
      <c r="G304" s="216" t="s">
        <v>915</v>
      </c>
      <c r="H304" s="204" t="s">
        <v>29</v>
      </c>
      <c r="I304" s="20" t="s">
        <v>30</v>
      </c>
      <c r="J304" s="185" t="s">
        <v>31</v>
      </c>
      <c r="K304" s="185">
        <v>9.872987038E9</v>
      </c>
      <c r="L304" s="203">
        <v>3000.0</v>
      </c>
      <c r="M304" s="186"/>
      <c r="N304" s="186"/>
      <c r="O304" s="186"/>
      <c r="P304" s="186"/>
      <c r="Q304" s="203">
        <v>500.0</v>
      </c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</row>
    <row r="305">
      <c r="A305" s="220" t="s">
        <v>495</v>
      </c>
      <c r="B305" s="209" t="s">
        <v>485</v>
      </c>
      <c r="C305" s="209" t="s">
        <v>758</v>
      </c>
      <c r="D305" s="220" t="s">
        <v>914</v>
      </c>
      <c r="E305" s="154" t="s">
        <v>634</v>
      </c>
      <c r="F305" s="171">
        <v>6.2604816E8</v>
      </c>
      <c r="G305" s="220" t="s">
        <v>915</v>
      </c>
      <c r="H305" s="202" t="s">
        <v>29</v>
      </c>
      <c r="I305" s="20" t="s">
        <v>30</v>
      </c>
      <c r="J305" s="154" t="s">
        <v>31</v>
      </c>
      <c r="K305" s="154">
        <v>9.872987038E9</v>
      </c>
      <c r="L305" s="209">
        <v>3000.0</v>
      </c>
      <c r="M305" s="175"/>
      <c r="N305" s="175"/>
      <c r="O305" s="175"/>
      <c r="P305" s="175"/>
      <c r="Q305" s="209">
        <v>500.0</v>
      </c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75"/>
      <c r="AI305" s="175"/>
      <c r="AJ305" s="175"/>
      <c r="AK305" s="175"/>
      <c r="AL305" s="175"/>
      <c r="AM305" s="175"/>
      <c r="AN305" s="175"/>
      <c r="AO305" s="175"/>
      <c r="AP305" s="175"/>
      <c r="AQ305" s="175"/>
      <c r="AR305" s="175"/>
      <c r="AS305" s="175"/>
      <c r="AT305" s="175"/>
      <c r="AU305" s="175"/>
      <c r="AV305" s="175"/>
      <c r="AW305" s="175"/>
      <c r="AX305" s="175"/>
    </row>
    <row r="306">
      <c r="A306" s="216"/>
      <c r="B306" s="203"/>
      <c r="C306" s="203"/>
      <c r="D306" s="203"/>
      <c r="E306" s="215"/>
      <c r="F306" s="203"/>
      <c r="G306" s="215"/>
      <c r="K306" s="186"/>
      <c r="L306" s="203"/>
      <c r="M306" s="186"/>
      <c r="N306" s="186"/>
      <c r="O306" s="186"/>
      <c r="P306" s="186"/>
      <c r="Q306" s="203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</row>
    <row r="307">
      <c r="A307" s="220"/>
      <c r="B307" s="209"/>
      <c r="C307" s="209"/>
      <c r="D307" s="209"/>
      <c r="E307" s="211"/>
      <c r="F307" s="209"/>
      <c r="G307" s="211"/>
      <c r="K307" s="175"/>
      <c r="L307" s="264">
        <f>SUM(L283:L306)</f>
        <v>69396</v>
      </c>
      <c r="M307" s="175"/>
      <c r="N307" s="175"/>
      <c r="O307" s="175"/>
      <c r="P307" s="175"/>
      <c r="Q307" s="209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  <c r="AJ307" s="175"/>
      <c r="AK307" s="175"/>
      <c r="AL307" s="175"/>
      <c r="AM307" s="175"/>
      <c r="AN307" s="175"/>
      <c r="AO307" s="175"/>
      <c r="AP307" s="175"/>
      <c r="AQ307" s="175"/>
      <c r="AR307" s="175"/>
      <c r="AS307" s="175"/>
      <c r="AT307" s="175"/>
      <c r="AU307" s="175"/>
      <c r="AV307" s="175"/>
      <c r="AW307" s="175"/>
      <c r="AX307" s="175"/>
    </row>
    <row r="308">
      <c r="A308" s="240" t="s">
        <v>497</v>
      </c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9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2"/>
      <c r="AZ308" s="2"/>
      <c r="BA308" s="2"/>
      <c r="BB308" s="2"/>
      <c r="BC308" s="2"/>
      <c r="BD308" s="2"/>
    </row>
    <row r="309" ht="42.0" customHeight="1">
      <c r="A309" s="195" t="s">
        <v>0</v>
      </c>
      <c r="B309" s="195" t="s">
        <v>1</v>
      </c>
      <c r="C309" s="196" t="s">
        <v>2</v>
      </c>
      <c r="D309" s="196" t="s">
        <v>3</v>
      </c>
      <c r="E309" s="196" t="s">
        <v>4</v>
      </c>
      <c r="F309" s="196" t="s">
        <v>642</v>
      </c>
      <c r="G309" s="196" t="s">
        <v>643</v>
      </c>
      <c r="H309" s="196" t="s">
        <v>7</v>
      </c>
      <c r="I309" s="196" t="s">
        <v>8</v>
      </c>
      <c r="J309" s="196" t="s">
        <v>9</v>
      </c>
      <c r="K309" s="197" t="s">
        <v>10</v>
      </c>
      <c r="L309" s="197" t="s">
        <v>644</v>
      </c>
      <c r="M309" s="198" t="s">
        <v>645</v>
      </c>
      <c r="N309" s="196" t="s">
        <v>13</v>
      </c>
      <c r="O309" s="199" t="s">
        <v>14</v>
      </c>
      <c r="P309" s="200" t="s">
        <v>646</v>
      </c>
      <c r="Q309" s="197" t="s">
        <v>647</v>
      </c>
      <c r="R309" s="196" t="s">
        <v>16</v>
      </c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  <c r="AQ309" s="201"/>
      <c r="AR309" s="201"/>
      <c r="AS309" s="201"/>
      <c r="AT309" s="201"/>
      <c r="AU309" s="201"/>
      <c r="AV309" s="201"/>
      <c r="AW309" s="201"/>
      <c r="AX309" s="201"/>
      <c r="AY309" s="201"/>
      <c r="AZ309" s="201"/>
      <c r="BA309" s="201"/>
      <c r="BB309" s="201"/>
      <c r="BC309" s="201"/>
      <c r="BD309" s="201"/>
    </row>
    <row r="310">
      <c r="A310" s="216" t="s">
        <v>497</v>
      </c>
      <c r="B310" s="203" t="s">
        <v>485</v>
      </c>
      <c r="C310" s="203" t="s">
        <v>696</v>
      </c>
      <c r="D310" s="203" t="s">
        <v>739</v>
      </c>
      <c r="E310" s="265" t="s">
        <v>634</v>
      </c>
      <c r="F310" s="98">
        <v>6.2604815E8</v>
      </c>
      <c r="G310" s="203" t="s">
        <v>869</v>
      </c>
      <c r="H310" s="216">
        <v>6730.0</v>
      </c>
      <c r="I310" s="50" t="s">
        <v>360</v>
      </c>
      <c r="J310" s="185" t="s">
        <v>56</v>
      </c>
      <c r="K310" s="204">
        <v>7.355962044E9</v>
      </c>
      <c r="L310" s="203">
        <v>3000.0</v>
      </c>
      <c r="M310" s="186"/>
      <c r="N310" s="186"/>
      <c r="O310" s="186"/>
      <c r="P310" s="186"/>
      <c r="Q310" s="203">
        <v>400.0</v>
      </c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</row>
    <row r="311">
      <c r="A311" s="220" t="s">
        <v>497</v>
      </c>
      <c r="B311" s="209" t="s">
        <v>485</v>
      </c>
      <c r="C311" s="209" t="s">
        <v>112</v>
      </c>
      <c r="D311" s="209" t="s">
        <v>422</v>
      </c>
      <c r="E311" s="255" t="s">
        <v>634</v>
      </c>
      <c r="F311" s="98">
        <v>6.26048157E8</v>
      </c>
      <c r="G311" s="220">
        <v>1.0</v>
      </c>
      <c r="H311" s="220">
        <v>1090.0</v>
      </c>
      <c r="I311" s="52" t="s">
        <v>511</v>
      </c>
      <c r="J311" s="154" t="s">
        <v>141</v>
      </c>
      <c r="K311" s="154">
        <v>8.285997574E9</v>
      </c>
      <c r="L311" s="220">
        <v>745.0</v>
      </c>
      <c r="M311" s="175"/>
      <c r="N311" s="175"/>
      <c r="O311" s="175"/>
      <c r="P311" s="175"/>
      <c r="Q311" s="209">
        <v>75.0</v>
      </c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  <c r="AJ311" s="175"/>
      <c r="AK311" s="175"/>
      <c r="AL311" s="175"/>
      <c r="AM311" s="175"/>
      <c r="AN311" s="175"/>
      <c r="AO311" s="175"/>
      <c r="AP311" s="175"/>
      <c r="AQ311" s="175"/>
      <c r="AR311" s="175"/>
      <c r="AS311" s="175"/>
      <c r="AT311" s="175"/>
      <c r="AU311" s="175"/>
      <c r="AV311" s="175"/>
      <c r="AW311" s="175"/>
      <c r="AX311" s="175"/>
    </row>
    <row r="312">
      <c r="A312" s="216" t="s">
        <v>497</v>
      </c>
      <c r="B312" s="203" t="s">
        <v>485</v>
      </c>
      <c r="C312" s="203" t="s">
        <v>884</v>
      </c>
      <c r="D312" s="216" t="s">
        <v>916</v>
      </c>
      <c r="E312" s="265" t="s">
        <v>634</v>
      </c>
      <c r="F312" s="98">
        <v>6.26048162E8</v>
      </c>
      <c r="G312" s="203" t="s">
        <v>869</v>
      </c>
      <c r="H312" s="216">
        <v>6732.0</v>
      </c>
      <c r="I312" s="50" t="s">
        <v>124</v>
      </c>
      <c r="J312" s="185" t="s">
        <v>56</v>
      </c>
      <c r="K312" s="204">
        <v>7.290982776E9</v>
      </c>
      <c r="L312" s="203">
        <v>3000.0</v>
      </c>
      <c r="M312" s="186"/>
      <c r="N312" s="186"/>
      <c r="O312" s="186"/>
      <c r="P312" s="186"/>
      <c r="Q312" s="203">
        <v>400.0</v>
      </c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</row>
    <row r="313">
      <c r="A313" s="220" t="s">
        <v>497</v>
      </c>
      <c r="B313" s="220" t="s">
        <v>497</v>
      </c>
      <c r="C313" s="220" t="s">
        <v>917</v>
      </c>
      <c r="D313" s="220" t="s">
        <v>692</v>
      </c>
      <c r="E313" s="220" t="s">
        <v>634</v>
      </c>
      <c r="F313" s="100">
        <v>6.26048171E8</v>
      </c>
      <c r="G313" s="220" t="s">
        <v>918</v>
      </c>
      <c r="H313" s="220">
        <v>6733.0</v>
      </c>
      <c r="I313" s="20" t="s">
        <v>148</v>
      </c>
      <c r="J313" s="154" t="s">
        <v>56</v>
      </c>
      <c r="K313" s="154">
        <v>8.799720529E9</v>
      </c>
      <c r="L313" s="220">
        <v>12000.0</v>
      </c>
      <c r="M313" s="175"/>
      <c r="N313" s="175"/>
      <c r="O313" s="175"/>
      <c r="P313" s="175"/>
      <c r="Q313" s="220">
        <v>2000.0</v>
      </c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  <c r="AJ313" s="175"/>
      <c r="AK313" s="175"/>
      <c r="AL313" s="175"/>
      <c r="AM313" s="175"/>
      <c r="AN313" s="175"/>
      <c r="AO313" s="175"/>
      <c r="AP313" s="175"/>
      <c r="AQ313" s="175"/>
      <c r="AR313" s="175"/>
      <c r="AS313" s="175"/>
      <c r="AT313" s="175"/>
      <c r="AU313" s="175"/>
      <c r="AV313" s="175"/>
      <c r="AW313" s="175"/>
      <c r="AX313" s="175"/>
    </row>
    <row r="314">
      <c r="A314" s="216" t="s">
        <v>497</v>
      </c>
      <c r="B314" s="216" t="s">
        <v>497</v>
      </c>
      <c r="C314" s="216" t="s">
        <v>715</v>
      </c>
      <c r="D314" s="216" t="s">
        <v>919</v>
      </c>
      <c r="E314" s="216" t="s">
        <v>634</v>
      </c>
      <c r="F314" s="100">
        <v>6.26048172E8</v>
      </c>
      <c r="G314" s="216" t="s">
        <v>920</v>
      </c>
      <c r="H314" s="216">
        <v>6734.0</v>
      </c>
      <c r="I314" s="52" t="s">
        <v>55</v>
      </c>
      <c r="J314" s="249" t="s">
        <v>56</v>
      </c>
      <c r="K314" s="250">
        <v>9.718858411E9</v>
      </c>
      <c r="L314" s="216">
        <v>12000.0</v>
      </c>
      <c r="M314" s="186"/>
      <c r="N314" s="186"/>
      <c r="O314" s="186"/>
      <c r="P314" s="186"/>
      <c r="Q314" s="203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</row>
    <row r="315">
      <c r="A315" s="220"/>
      <c r="B315" s="220"/>
      <c r="C315" s="220"/>
      <c r="D315" s="220"/>
      <c r="E315" s="220"/>
      <c r="F315" s="220"/>
      <c r="G315" s="211"/>
      <c r="H315" s="211"/>
      <c r="K315" s="175"/>
      <c r="L315" s="220"/>
      <c r="M315" s="175"/>
      <c r="N315" s="175"/>
      <c r="O315" s="175"/>
      <c r="P315" s="175"/>
      <c r="Q315" s="209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  <c r="AJ315" s="175"/>
      <c r="AK315" s="175"/>
      <c r="AL315" s="175"/>
      <c r="AM315" s="175"/>
      <c r="AN315" s="175"/>
      <c r="AO315" s="175"/>
      <c r="AP315" s="175"/>
      <c r="AQ315" s="175"/>
      <c r="AR315" s="175"/>
      <c r="AS315" s="175"/>
      <c r="AT315" s="175"/>
      <c r="AU315" s="175"/>
      <c r="AV315" s="175"/>
      <c r="AW315" s="175"/>
      <c r="AX315" s="175"/>
    </row>
    <row r="316">
      <c r="A316" s="216"/>
      <c r="B316" s="203"/>
      <c r="C316" s="203"/>
      <c r="D316" s="203"/>
      <c r="E316" s="215"/>
      <c r="F316" s="203"/>
      <c r="G316" s="215"/>
      <c r="H316" s="215"/>
      <c r="K316" s="186"/>
      <c r="L316" s="266">
        <f>SUM(L310:L315)</f>
        <v>30745</v>
      </c>
      <c r="M316" s="186"/>
      <c r="N316" s="186"/>
      <c r="O316" s="186"/>
      <c r="P316" s="186"/>
      <c r="Q316" s="203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</row>
    <row r="317">
      <c r="A317" s="240" t="s">
        <v>514</v>
      </c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6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  <c r="AI317" s="175"/>
      <c r="AJ317" s="175"/>
      <c r="AK317" s="175"/>
      <c r="AL317" s="175"/>
      <c r="AM317" s="175"/>
      <c r="AN317" s="175"/>
      <c r="AO317" s="175"/>
      <c r="AP317" s="175"/>
      <c r="AQ317" s="175"/>
      <c r="AR317" s="175"/>
      <c r="AS317" s="175"/>
      <c r="AT317" s="175"/>
      <c r="AU317" s="175"/>
      <c r="AV317" s="175"/>
      <c r="AW317" s="175"/>
      <c r="AX317" s="175"/>
      <c r="AY317" s="2"/>
      <c r="AZ317" s="2"/>
      <c r="BA317" s="2"/>
      <c r="BB317" s="2"/>
      <c r="BC317" s="2"/>
      <c r="BD317" s="2"/>
    </row>
    <row r="318" ht="42.0" customHeight="1">
      <c r="A318" s="195" t="s">
        <v>0</v>
      </c>
      <c r="B318" s="195" t="s">
        <v>1</v>
      </c>
      <c r="C318" s="196" t="s">
        <v>2</v>
      </c>
      <c r="D318" s="196" t="s">
        <v>3</v>
      </c>
      <c r="E318" s="196" t="s">
        <v>4</v>
      </c>
      <c r="F318" s="196" t="s">
        <v>642</v>
      </c>
      <c r="G318" s="196" t="s">
        <v>643</v>
      </c>
      <c r="H318" s="196" t="s">
        <v>7</v>
      </c>
      <c r="I318" s="196" t="s">
        <v>8</v>
      </c>
      <c r="J318" s="196" t="s">
        <v>9</v>
      </c>
      <c r="K318" s="197" t="s">
        <v>10</v>
      </c>
      <c r="L318" s="197" t="s">
        <v>644</v>
      </c>
      <c r="M318" s="198" t="s">
        <v>645</v>
      </c>
      <c r="N318" s="196" t="s">
        <v>13</v>
      </c>
      <c r="O318" s="199" t="s">
        <v>14</v>
      </c>
      <c r="P318" s="200" t="s">
        <v>646</v>
      </c>
      <c r="Q318" s="197" t="s">
        <v>647</v>
      </c>
      <c r="R318" s="196" t="s">
        <v>16</v>
      </c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  <c r="AU318" s="201"/>
      <c r="AV318" s="201"/>
      <c r="AW318" s="201"/>
      <c r="AX318" s="201"/>
      <c r="AY318" s="201"/>
      <c r="AZ318" s="201"/>
      <c r="BA318" s="201"/>
      <c r="BB318" s="201"/>
      <c r="BC318" s="201"/>
      <c r="BD318" s="201"/>
    </row>
    <row r="319">
      <c r="A319" s="220" t="s">
        <v>514</v>
      </c>
      <c r="B319" s="209" t="s">
        <v>497</v>
      </c>
      <c r="C319" s="209" t="s">
        <v>921</v>
      </c>
      <c r="D319" s="220" t="s">
        <v>922</v>
      </c>
      <c r="E319" s="202" t="s">
        <v>172</v>
      </c>
      <c r="F319" s="98">
        <v>6.26048173E8</v>
      </c>
      <c r="G319" s="209" t="s">
        <v>869</v>
      </c>
      <c r="H319" s="220">
        <v>6735.0</v>
      </c>
      <c r="I319" s="50" t="s">
        <v>360</v>
      </c>
      <c r="J319" s="154" t="s">
        <v>56</v>
      </c>
      <c r="K319" s="202">
        <v>7.355962044E9</v>
      </c>
      <c r="L319" s="209">
        <v>3600.0</v>
      </c>
      <c r="M319" s="175"/>
      <c r="N319" s="175"/>
      <c r="O319" s="175"/>
      <c r="P319" s="175"/>
      <c r="Q319" s="209">
        <v>300.0</v>
      </c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  <c r="AI319" s="175"/>
      <c r="AJ319" s="175"/>
      <c r="AK319" s="175"/>
      <c r="AL319" s="175"/>
      <c r="AM319" s="175"/>
      <c r="AN319" s="175"/>
      <c r="AO319" s="175"/>
      <c r="AP319" s="175"/>
      <c r="AQ319" s="175"/>
      <c r="AR319" s="175"/>
      <c r="AS319" s="175"/>
      <c r="AT319" s="175"/>
      <c r="AU319" s="175"/>
      <c r="AV319" s="175"/>
      <c r="AW319" s="175"/>
      <c r="AX319" s="175"/>
    </row>
    <row r="320">
      <c r="A320" s="216" t="s">
        <v>514</v>
      </c>
      <c r="B320" s="203" t="s">
        <v>497</v>
      </c>
      <c r="C320" s="203" t="s">
        <v>742</v>
      </c>
      <c r="D320" s="203" t="s">
        <v>743</v>
      </c>
      <c r="E320" s="185" t="s">
        <v>634</v>
      </c>
      <c r="F320" s="98">
        <v>6.26048176E8</v>
      </c>
      <c r="G320" s="203" t="s">
        <v>869</v>
      </c>
      <c r="H320" s="216">
        <v>6736.0</v>
      </c>
      <c r="I320" s="50" t="s">
        <v>124</v>
      </c>
      <c r="J320" s="185" t="s">
        <v>56</v>
      </c>
      <c r="K320" s="204">
        <v>7.290982776E9</v>
      </c>
      <c r="L320" s="203">
        <v>3180.0</v>
      </c>
      <c r="M320" s="186"/>
      <c r="N320" s="186"/>
      <c r="O320" s="186"/>
      <c r="P320" s="186"/>
      <c r="Q320" s="203">
        <v>330.0</v>
      </c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</row>
    <row r="321">
      <c r="A321" s="220" t="s">
        <v>514</v>
      </c>
      <c r="B321" s="209" t="s">
        <v>497</v>
      </c>
      <c r="C321" s="209" t="s">
        <v>791</v>
      </c>
      <c r="D321" s="209" t="s">
        <v>923</v>
      </c>
      <c r="E321" s="154" t="s">
        <v>634</v>
      </c>
      <c r="F321" s="98">
        <v>6.26048177E8</v>
      </c>
      <c r="G321" s="209" t="s">
        <v>869</v>
      </c>
      <c r="H321" s="220">
        <v>1092.0</v>
      </c>
      <c r="I321" s="74" t="s">
        <v>827</v>
      </c>
      <c r="J321" s="154" t="s">
        <v>141</v>
      </c>
      <c r="K321" s="202">
        <v>9.161156058E9</v>
      </c>
      <c r="L321" s="209">
        <v>3000.0</v>
      </c>
      <c r="M321" s="175"/>
      <c r="N321" s="175"/>
      <c r="O321" s="175"/>
      <c r="P321" s="175"/>
      <c r="Q321" s="209">
        <v>500.0</v>
      </c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  <c r="AJ321" s="175"/>
      <c r="AK321" s="175"/>
      <c r="AL321" s="175"/>
      <c r="AM321" s="175"/>
      <c r="AN321" s="175"/>
      <c r="AO321" s="175"/>
      <c r="AP321" s="175"/>
      <c r="AQ321" s="175"/>
      <c r="AR321" s="175"/>
      <c r="AS321" s="175"/>
      <c r="AT321" s="175"/>
      <c r="AU321" s="175"/>
      <c r="AV321" s="175"/>
      <c r="AW321" s="175"/>
      <c r="AX321" s="175"/>
    </row>
    <row r="322">
      <c r="A322" s="216" t="s">
        <v>514</v>
      </c>
      <c r="B322" s="203" t="s">
        <v>497</v>
      </c>
      <c r="C322" s="203" t="s">
        <v>853</v>
      </c>
      <c r="D322" s="203" t="s">
        <v>924</v>
      </c>
      <c r="E322" s="185" t="s">
        <v>634</v>
      </c>
      <c r="F322" s="98">
        <v>6.26048178E8</v>
      </c>
      <c r="G322" s="203" t="s">
        <v>869</v>
      </c>
      <c r="H322" s="216">
        <v>1093.0</v>
      </c>
      <c r="I322" s="74" t="s">
        <v>665</v>
      </c>
      <c r="J322" s="216" t="s">
        <v>141</v>
      </c>
      <c r="K322" s="216">
        <v>8.506009561E9</v>
      </c>
      <c r="L322" s="203">
        <v>3000.0</v>
      </c>
      <c r="M322" s="186"/>
      <c r="N322" s="186"/>
      <c r="O322" s="186"/>
      <c r="P322" s="186"/>
      <c r="Q322" s="203">
        <v>500.0</v>
      </c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</row>
    <row r="323">
      <c r="A323" s="220" t="s">
        <v>514</v>
      </c>
      <c r="B323" s="209" t="s">
        <v>497</v>
      </c>
      <c r="C323" s="209" t="s">
        <v>789</v>
      </c>
      <c r="D323" s="209" t="s">
        <v>925</v>
      </c>
      <c r="E323" s="154" t="s">
        <v>634</v>
      </c>
      <c r="F323" s="98">
        <v>6.26048175E8</v>
      </c>
      <c r="G323" s="209" t="s">
        <v>869</v>
      </c>
      <c r="H323" s="220">
        <v>1094.0</v>
      </c>
      <c r="I323" s="52" t="s">
        <v>511</v>
      </c>
      <c r="J323" s="154" t="s">
        <v>141</v>
      </c>
      <c r="K323" s="154">
        <v>8.285997574E9</v>
      </c>
      <c r="L323" s="209">
        <v>3000.0</v>
      </c>
      <c r="M323" s="175"/>
      <c r="N323" s="175"/>
      <c r="O323" s="175"/>
      <c r="P323" s="175"/>
      <c r="Q323" s="209">
        <v>500.0</v>
      </c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75"/>
      <c r="AI323" s="175"/>
      <c r="AJ323" s="175"/>
      <c r="AK323" s="175"/>
      <c r="AL323" s="175"/>
      <c r="AM323" s="175"/>
      <c r="AN323" s="175"/>
      <c r="AO323" s="175"/>
      <c r="AP323" s="175"/>
      <c r="AQ323" s="175"/>
      <c r="AR323" s="175"/>
      <c r="AS323" s="175"/>
      <c r="AT323" s="175"/>
      <c r="AU323" s="175"/>
      <c r="AV323" s="175"/>
      <c r="AW323" s="175"/>
      <c r="AX323" s="175"/>
    </row>
    <row r="324">
      <c r="A324" s="216"/>
      <c r="B324" s="203"/>
      <c r="C324" s="203"/>
      <c r="D324" s="203"/>
      <c r="E324" s="215"/>
      <c r="F324" s="203"/>
      <c r="G324" s="215"/>
      <c r="H324" s="215"/>
      <c r="K324" s="186"/>
      <c r="L324" s="203"/>
      <c r="M324" s="186"/>
      <c r="N324" s="186"/>
      <c r="O324" s="186"/>
      <c r="P324" s="186"/>
      <c r="Q324" s="203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</row>
    <row r="325">
      <c r="A325" s="220"/>
      <c r="B325" s="209"/>
      <c r="C325" s="209"/>
      <c r="D325" s="209"/>
      <c r="E325" s="211"/>
      <c r="F325" s="209"/>
      <c r="G325" s="211"/>
      <c r="H325" s="211"/>
      <c r="K325" s="175"/>
      <c r="L325" s="264">
        <f>SUM(L319:L324)</f>
        <v>15780</v>
      </c>
      <c r="M325" s="175"/>
      <c r="N325" s="175"/>
      <c r="O325" s="175"/>
      <c r="P325" s="175"/>
      <c r="Q325" s="209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  <c r="AC325" s="175"/>
      <c r="AD325" s="175"/>
      <c r="AE325" s="175"/>
      <c r="AF325" s="175"/>
      <c r="AG325" s="175"/>
      <c r="AH325" s="175"/>
      <c r="AI325" s="175"/>
      <c r="AJ325" s="175"/>
      <c r="AK325" s="175"/>
      <c r="AL325" s="175"/>
      <c r="AM325" s="175"/>
      <c r="AN325" s="175"/>
      <c r="AO325" s="175"/>
      <c r="AP325" s="175"/>
      <c r="AQ325" s="175"/>
      <c r="AR325" s="175"/>
      <c r="AS325" s="175"/>
      <c r="AT325" s="175"/>
      <c r="AU325" s="175"/>
      <c r="AV325" s="175"/>
      <c r="AW325" s="175"/>
      <c r="AX325" s="175"/>
    </row>
    <row r="326">
      <c r="A326" s="240" t="s">
        <v>519</v>
      </c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9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2"/>
      <c r="AZ326" s="2"/>
      <c r="BA326" s="2"/>
      <c r="BB326" s="2"/>
      <c r="BC326" s="2"/>
      <c r="BD326" s="2"/>
    </row>
    <row r="327" ht="42.0" customHeight="1">
      <c r="A327" s="195" t="s">
        <v>0</v>
      </c>
      <c r="B327" s="195" t="s">
        <v>1</v>
      </c>
      <c r="C327" s="196" t="s">
        <v>2</v>
      </c>
      <c r="D327" s="196" t="s">
        <v>3</v>
      </c>
      <c r="E327" s="196" t="s">
        <v>4</v>
      </c>
      <c r="F327" s="196" t="s">
        <v>642</v>
      </c>
      <c r="G327" s="196" t="s">
        <v>643</v>
      </c>
      <c r="H327" s="196" t="s">
        <v>7</v>
      </c>
      <c r="I327" s="196" t="s">
        <v>8</v>
      </c>
      <c r="J327" s="196" t="s">
        <v>9</v>
      </c>
      <c r="K327" s="197" t="s">
        <v>10</v>
      </c>
      <c r="L327" s="197" t="s">
        <v>644</v>
      </c>
      <c r="M327" s="198" t="s">
        <v>645</v>
      </c>
      <c r="N327" s="196" t="s">
        <v>13</v>
      </c>
      <c r="O327" s="199" t="s">
        <v>14</v>
      </c>
      <c r="P327" s="200" t="s">
        <v>646</v>
      </c>
      <c r="Q327" s="197" t="s">
        <v>647</v>
      </c>
      <c r="R327" s="196" t="s">
        <v>16</v>
      </c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  <c r="AQ327" s="201"/>
      <c r="AR327" s="201"/>
      <c r="AS327" s="201"/>
      <c r="AT327" s="201"/>
      <c r="AU327" s="201"/>
      <c r="AV327" s="201"/>
      <c r="AW327" s="201"/>
      <c r="AX327" s="201"/>
      <c r="AY327" s="201"/>
      <c r="AZ327" s="201"/>
      <c r="BA327" s="201"/>
      <c r="BB327" s="201"/>
      <c r="BC327" s="201"/>
      <c r="BD327" s="201"/>
    </row>
    <row r="328">
      <c r="A328" s="216" t="s">
        <v>519</v>
      </c>
      <c r="B328" s="216" t="s">
        <v>514</v>
      </c>
      <c r="C328" s="204" t="s">
        <v>926</v>
      </c>
      <c r="D328" s="204" t="s">
        <v>927</v>
      </c>
      <c r="E328" s="204" t="s">
        <v>634</v>
      </c>
      <c r="F328" s="241">
        <v>6.26048181E8</v>
      </c>
      <c r="G328" s="203" t="s">
        <v>869</v>
      </c>
      <c r="H328" s="216">
        <v>6738.0</v>
      </c>
      <c r="I328" s="50" t="s">
        <v>360</v>
      </c>
      <c r="J328" s="185" t="s">
        <v>56</v>
      </c>
      <c r="K328" s="204">
        <v>7.355962044E9</v>
      </c>
      <c r="L328" s="216">
        <v>3000.0</v>
      </c>
      <c r="M328" s="190">
        <v>1.0</v>
      </c>
      <c r="N328" s="186"/>
      <c r="O328" s="186"/>
      <c r="P328" s="186"/>
      <c r="Q328" s="204">
        <v>250.0</v>
      </c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</row>
    <row r="329">
      <c r="A329" s="220" t="s">
        <v>519</v>
      </c>
      <c r="B329" s="220" t="s">
        <v>514</v>
      </c>
      <c r="C329" s="202" t="s">
        <v>839</v>
      </c>
      <c r="D329" s="202" t="s">
        <v>840</v>
      </c>
      <c r="E329" s="202" t="s">
        <v>634</v>
      </c>
      <c r="F329" s="241">
        <v>6.26048182E8</v>
      </c>
      <c r="G329" s="209" t="s">
        <v>869</v>
      </c>
      <c r="H329" s="220">
        <v>1098.0</v>
      </c>
      <c r="I329" s="52" t="s">
        <v>511</v>
      </c>
      <c r="J329" s="154" t="s">
        <v>141</v>
      </c>
      <c r="K329" s="154">
        <v>8.285997574E9</v>
      </c>
      <c r="L329" s="220">
        <v>2940.0</v>
      </c>
      <c r="M329" s="267">
        <v>-22.0</v>
      </c>
      <c r="N329" s="175"/>
      <c r="O329" s="175"/>
      <c r="P329" s="175"/>
      <c r="Q329" s="202">
        <v>250.0</v>
      </c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  <c r="AC329" s="175"/>
      <c r="AD329" s="175"/>
      <c r="AE329" s="175"/>
      <c r="AF329" s="175"/>
      <c r="AG329" s="175"/>
      <c r="AH329" s="175"/>
      <c r="AI329" s="175"/>
      <c r="AJ329" s="175"/>
      <c r="AK329" s="175"/>
      <c r="AL329" s="175"/>
      <c r="AM329" s="175"/>
      <c r="AN329" s="175"/>
      <c r="AO329" s="175"/>
      <c r="AP329" s="175"/>
      <c r="AQ329" s="175"/>
      <c r="AR329" s="175"/>
      <c r="AS329" s="175"/>
      <c r="AT329" s="175"/>
      <c r="AU329" s="175"/>
      <c r="AV329" s="175"/>
      <c r="AW329" s="175"/>
      <c r="AX329" s="175"/>
    </row>
    <row r="330">
      <c r="A330" s="216" t="s">
        <v>519</v>
      </c>
      <c r="B330" s="216" t="s">
        <v>514</v>
      </c>
      <c r="C330" s="204" t="s">
        <v>889</v>
      </c>
      <c r="D330" s="204" t="s">
        <v>660</v>
      </c>
      <c r="E330" s="204" t="s">
        <v>634</v>
      </c>
      <c r="F330" s="241">
        <v>6.26048185E8</v>
      </c>
      <c r="G330" s="203" t="s">
        <v>869</v>
      </c>
      <c r="H330" s="216">
        <v>1096.0</v>
      </c>
      <c r="I330" s="74" t="s">
        <v>665</v>
      </c>
      <c r="J330" s="216" t="s">
        <v>141</v>
      </c>
      <c r="K330" s="216">
        <v>8.506009561E9</v>
      </c>
      <c r="L330" s="216">
        <v>2640.0</v>
      </c>
      <c r="M330" s="186"/>
      <c r="N330" s="186"/>
      <c r="O330" s="186"/>
      <c r="P330" s="186"/>
      <c r="Q330" s="204">
        <v>290.0</v>
      </c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</row>
    <row r="331">
      <c r="A331" s="220" t="s">
        <v>519</v>
      </c>
      <c r="B331" s="220" t="s">
        <v>514</v>
      </c>
      <c r="C331" s="202" t="s">
        <v>797</v>
      </c>
      <c r="D331" s="202" t="s">
        <v>861</v>
      </c>
      <c r="E331" s="202" t="s">
        <v>634</v>
      </c>
      <c r="F331" s="241">
        <v>6.26048184E8</v>
      </c>
      <c r="G331" s="220" t="s">
        <v>920</v>
      </c>
      <c r="H331" s="220">
        <v>6741.0</v>
      </c>
      <c r="I331" s="52" t="s">
        <v>55</v>
      </c>
      <c r="J331" s="253" t="s">
        <v>56</v>
      </c>
      <c r="K331" s="254">
        <v>9.718858411E9</v>
      </c>
      <c r="L331" s="220">
        <v>3000.0</v>
      </c>
      <c r="M331" s="175"/>
      <c r="N331" s="175"/>
      <c r="O331" s="175"/>
      <c r="P331" s="175"/>
      <c r="Q331" s="202">
        <v>500.0</v>
      </c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  <c r="AJ331" s="175"/>
      <c r="AK331" s="175"/>
      <c r="AL331" s="175"/>
      <c r="AM331" s="175"/>
      <c r="AN331" s="175"/>
      <c r="AO331" s="175"/>
      <c r="AP331" s="175"/>
      <c r="AQ331" s="175"/>
      <c r="AR331" s="175"/>
      <c r="AS331" s="175"/>
      <c r="AT331" s="175"/>
      <c r="AU331" s="175"/>
      <c r="AV331" s="175"/>
      <c r="AW331" s="175"/>
      <c r="AX331" s="175"/>
    </row>
    <row r="332">
      <c r="A332" s="216" t="s">
        <v>519</v>
      </c>
      <c r="B332" s="216" t="s">
        <v>514</v>
      </c>
      <c r="C332" s="204" t="s">
        <v>797</v>
      </c>
      <c r="D332" s="204" t="s">
        <v>861</v>
      </c>
      <c r="E332" s="204" t="s">
        <v>634</v>
      </c>
      <c r="F332" s="241">
        <v>6.26048195E8</v>
      </c>
      <c r="G332" s="216" t="s">
        <v>920</v>
      </c>
      <c r="H332" s="216">
        <v>6741.0</v>
      </c>
      <c r="I332" s="52" t="s">
        <v>55</v>
      </c>
      <c r="J332" s="249" t="s">
        <v>56</v>
      </c>
      <c r="K332" s="250">
        <v>9.718858411E9</v>
      </c>
      <c r="L332" s="216">
        <v>3000.0</v>
      </c>
      <c r="M332" s="186"/>
      <c r="N332" s="186"/>
      <c r="O332" s="186"/>
      <c r="P332" s="186"/>
      <c r="Q332" s="204">
        <v>500.0</v>
      </c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</row>
    <row r="333">
      <c r="A333" s="220" t="s">
        <v>519</v>
      </c>
      <c r="B333" s="220" t="s">
        <v>514</v>
      </c>
      <c r="C333" s="202" t="s">
        <v>855</v>
      </c>
      <c r="D333" s="202" t="s">
        <v>928</v>
      </c>
      <c r="E333" s="202" t="s">
        <v>634</v>
      </c>
      <c r="F333" s="241">
        <v>6.2604819E8</v>
      </c>
      <c r="G333" s="220" t="s">
        <v>920</v>
      </c>
      <c r="H333" s="220">
        <v>6742.0</v>
      </c>
      <c r="I333" s="52" t="s">
        <v>55</v>
      </c>
      <c r="J333" s="253" t="s">
        <v>56</v>
      </c>
      <c r="K333" s="254">
        <v>9.718858411E9</v>
      </c>
      <c r="L333" s="220">
        <v>3000.0</v>
      </c>
      <c r="M333" s="175"/>
      <c r="N333" s="175"/>
      <c r="O333" s="175"/>
      <c r="P333" s="175"/>
      <c r="Q333" s="202">
        <v>500.0</v>
      </c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  <c r="AF333" s="175"/>
      <c r="AG333" s="175"/>
      <c r="AH333" s="175"/>
      <c r="AI333" s="175"/>
      <c r="AJ333" s="175"/>
      <c r="AK333" s="175"/>
      <c r="AL333" s="175"/>
      <c r="AM333" s="175"/>
      <c r="AN333" s="175"/>
      <c r="AO333" s="175"/>
      <c r="AP333" s="175"/>
      <c r="AQ333" s="175"/>
      <c r="AR333" s="175"/>
      <c r="AS333" s="175"/>
      <c r="AT333" s="175"/>
      <c r="AU333" s="175"/>
      <c r="AV333" s="175"/>
      <c r="AW333" s="175"/>
      <c r="AX333" s="175"/>
    </row>
    <row r="334">
      <c r="A334" s="216" t="s">
        <v>519</v>
      </c>
      <c r="B334" s="216" t="s">
        <v>514</v>
      </c>
      <c r="C334" s="204" t="s">
        <v>929</v>
      </c>
      <c r="D334" s="204" t="s">
        <v>930</v>
      </c>
      <c r="E334" s="204" t="s">
        <v>634</v>
      </c>
      <c r="F334" s="241">
        <v>6.26048191E8</v>
      </c>
      <c r="G334" s="203" t="s">
        <v>869</v>
      </c>
      <c r="H334" s="216">
        <v>1099.0</v>
      </c>
      <c r="I334" s="74" t="s">
        <v>931</v>
      </c>
      <c r="J334" s="204" t="s">
        <v>141</v>
      </c>
      <c r="K334" s="204">
        <v>8.882065568E9</v>
      </c>
      <c r="L334" s="216">
        <v>3000.0</v>
      </c>
      <c r="M334" s="186"/>
      <c r="N334" s="186"/>
      <c r="O334" s="186"/>
      <c r="P334" s="186"/>
      <c r="Q334" s="204">
        <v>400.0</v>
      </c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</row>
    <row r="335">
      <c r="A335" s="220" t="s">
        <v>519</v>
      </c>
      <c r="B335" s="220" t="s">
        <v>514</v>
      </c>
      <c r="C335" s="202" t="s">
        <v>843</v>
      </c>
      <c r="D335" s="202" t="s">
        <v>844</v>
      </c>
      <c r="E335" s="202" t="s">
        <v>634</v>
      </c>
      <c r="F335" s="241">
        <v>6.26048183E8</v>
      </c>
      <c r="G335" s="220" t="s">
        <v>932</v>
      </c>
      <c r="H335" s="220">
        <v>6740.0</v>
      </c>
      <c r="I335" s="52" t="s">
        <v>114</v>
      </c>
      <c r="J335" s="154" t="s">
        <v>56</v>
      </c>
      <c r="K335" s="154">
        <v>9.956958533E9</v>
      </c>
      <c r="L335" s="220">
        <v>3000.0</v>
      </c>
      <c r="M335" s="175"/>
      <c r="N335" s="175"/>
      <c r="O335" s="175"/>
      <c r="P335" s="175"/>
      <c r="Q335" s="202">
        <v>500.0</v>
      </c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5"/>
      <c r="AG335" s="175"/>
      <c r="AH335" s="175"/>
      <c r="AI335" s="175"/>
      <c r="AJ335" s="175"/>
      <c r="AK335" s="175"/>
      <c r="AL335" s="175"/>
      <c r="AM335" s="175"/>
      <c r="AN335" s="175"/>
      <c r="AO335" s="175"/>
      <c r="AP335" s="175"/>
      <c r="AQ335" s="175"/>
      <c r="AR335" s="175"/>
      <c r="AS335" s="175"/>
      <c r="AT335" s="175"/>
      <c r="AU335" s="175"/>
      <c r="AV335" s="175"/>
      <c r="AW335" s="175"/>
      <c r="AX335" s="175"/>
    </row>
    <row r="336">
      <c r="A336" s="216" t="s">
        <v>519</v>
      </c>
      <c r="B336" s="216" t="s">
        <v>514</v>
      </c>
      <c r="C336" s="204" t="s">
        <v>871</v>
      </c>
      <c r="D336" s="204" t="s">
        <v>933</v>
      </c>
      <c r="E336" s="204" t="s">
        <v>634</v>
      </c>
      <c r="F336" s="241">
        <v>6.26048188E8</v>
      </c>
      <c r="G336" s="216" t="s">
        <v>932</v>
      </c>
      <c r="H336" s="216">
        <v>6743.0</v>
      </c>
      <c r="I336" s="52" t="s">
        <v>114</v>
      </c>
      <c r="J336" s="185" t="s">
        <v>56</v>
      </c>
      <c r="K336" s="185">
        <v>9.956958533E9</v>
      </c>
      <c r="L336" s="216">
        <v>3000.0</v>
      </c>
      <c r="M336" s="186"/>
      <c r="N336" s="186"/>
      <c r="O336" s="186"/>
      <c r="P336" s="186"/>
      <c r="Q336" s="204">
        <v>500.0</v>
      </c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</row>
    <row r="337">
      <c r="A337" s="220" t="s">
        <v>519</v>
      </c>
      <c r="B337" s="220" t="s">
        <v>514</v>
      </c>
      <c r="C337" s="202" t="s">
        <v>934</v>
      </c>
      <c r="D337" s="202" t="s">
        <v>935</v>
      </c>
      <c r="E337" s="202" t="s">
        <v>634</v>
      </c>
      <c r="F337" s="241">
        <v>6.26048192E8</v>
      </c>
      <c r="G337" s="209" t="s">
        <v>869</v>
      </c>
      <c r="H337" s="220">
        <v>1095.0</v>
      </c>
      <c r="I337" s="74" t="s">
        <v>891</v>
      </c>
      <c r="J337" s="154" t="s">
        <v>141</v>
      </c>
      <c r="K337" s="202">
        <v>9.217583494E9</v>
      </c>
      <c r="L337" s="220">
        <v>3000.0</v>
      </c>
      <c r="M337" s="267">
        <v>1.0</v>
      </c>
      <c r="N337" s="175"/>
      <c r="O337" s="175"/>
      <c r="P337" s="175"/>
      <c r="Q337" s="202">
        <v>500.0</v>
      </c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  <c r="AF337" s="175"/>
      <c r="AG337" s="175"/>
      <c r="AH337" s="175"/>
      <c r="AI337" s="175"/>
      <c r="AJ337" s="175"/>
      <c r="AK337" s="175"/>
      <c r="AL337" s="175"/>
      <c r="AM337" s="175"/>
      <c r="AN337" s="175"/>
      <c r="AO337" s="175"/>
      <c r="AP337" s="175"/>
      <c r="AQ337" s="175"/>
      <c r="AR337" s="175"/>
      <c r="AS337" s="175"/>
      <c r="AT337" s="175"/>
      <c r="AU337" s="175"/>
      <c r="AV337" s="175"/>
      <c r="AW337" s="175"/>
      <c r="AX337" s="175"/>
    </row>
    <row r="338" ht="15.75" customHeight="1">
      <c r="A338" s="216" t="s">
        <v>519</v>
      </c>
      <c r="B338" s="216" t="s">
        <v>514</v>
      </c>
      <c r="C338" s="204" t="s">
        <v>936</v>
      </c>
      <c r="D338" s="204" t="s">
        <v>937</v>
      </c>
      <c r="E338" s="204" t="s">
        <v>634</v>
      </c>
      <c r="F338" s="241">
        <v>6.26048186E8</v>
      </c>
      <c r="G338" s="203" t="s">
        <v>869</v>
      </c>
      <c r="H338" s="216">
        <v>6744.0</v>
      </c>
      <c r="I338" s="50" t="s">
        <v>124</v>
      </c>
      <c r="J338" s="185" t="s">
        <v>56</v>
      </c>
      <c r="K338" s="204">
        <v>7.290982776E9</v>
      </c>
      <c r="L338" s="216">
        <v>3000.0</v>
      </c>
      <c r="M338" s="186"/>
      <c r="N338" s="186"/>
      <c r="O338" s="186"/>
      <c r="P338" s="186"/>
      <c r="Q338" s="204">
        <v>300.0</v>
      </c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</row>
    <row r="339">
      <c r="A339" s="85" t="s">
        <v>519</v>
      </c>
      <c r="B339" s="85" t="s">
        <v>514</v>
      </c>
      <c r="C339" s="131" t="s">
        <v>726</v>
      </c>
      <c r="D339" s="131" t="s">
        <v>938</v>
      </c>
      <c r="E339" s="131" t="s">
        <v>634</v>
      </c>
      <c r="F339" s="131">
        <v>6.26048187E8</v>
      </c>
      <c r="G339" s="87" t="s">
        <v>869</v>
      </c>
      <c r="H339" s="85">
        <v>3146.0</v>
      </c>
      <c r="I339" s="88" t="s">
        <v>372</v>
      </c>
      <c r="J339" s="88" t="s">
        <v>373</v>
      </c>
      <c r="K339" s="88">
        <v>8.684015172E9</v>
      </c>
      <c r="L339" s="85">
        <v>2700.0</v>
      </c>
      <c r="M339" s="134"/>
      <c r="N339" s="134"/>
      <c r="O339" s="134"/>
      <c r="P339" s="134"/>
      <c r="Q339" s="131">
        <v>300.0</v>
      </c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  <c r="AO339" s="134"/>
      <c r="AP339" s="134"/>
      <c r="AQ339" s="134"/>
      <c r="AR339" s="134"/>
      <c r="AS339" s="134"/>
      <c r="AT339" s="134"/>
      <c r="AU339" s="134"/>
      <c r="AV339" s="134"/>
      <c r="AW339" s="134"/>
      <c r="AX339" s="134"/>
      <c r="AY339" s="146"/>
      <c r="AZ339" s="146"/>
      <c r="BA339" s="146"/>
      <c r="BB339" s="146"/>
      <c r="BC339" s="146"/>
      <c r="BD339" s="146"/>
    </row>
    <row r="340">
      <c r="A340" s="216" t="s">
        <v>519</v>
      </c>
      <c r="B340" s="216" t="s">
        <v>514</v>
      </c>
      <c r="C340" s="204" t="s">
        <v>112</v>
      </c>
      <c r="D340" s="204" t="s">
        <v>375</v>
      </c>
      <c r="E340" s="204" t="s">
        <v>634</v>
      </c>
      <c r="F340" s="204">
        <v>6.26048189E8</v>
      </c>
      <c r="G340" s="203" t="s">
        <v>869</v>
      </c>
      <c r="H340" s="216" t="s">
        <v>29</v>
      </c>
      <c r="I340" s="20" t="s">
        <v>63</v>
      </c>
      <c r="J340" s="185" t="s">
        <v>64</v>
      </c>
      <c r="K340" s="185">
        <v>9.779272314E9</v>
      </c>
      <c r="L340" s="216">
        <v>2520.0</v>
      </c>
      <c r="M340" s="186"/>
      <c r="N340" s="186"/>
      <c r="O340" s="186"/>
      <c r="P340" s="186"/>
      <c r="Q340" s="204">
        <v>400.0</v>
      </c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>
      <c r="A341" s="220" t="s">
        <v>519</v>
      </c>
      <c r="B341" s="209" t="s">
        <v>497</v>
      </c>
      <c r="C341" s="220" t="s">
        <v>939</v>
      </c>
      <c r="D341" s="220" t="s">
        <v>676</v>
      </c>
      <c r="E341" s="154" t="s">
        <v>634</v>
      </c>
      <c r="F341" s="209">
        <v>6.26048179E8</v>
      </c>
      <c r="G341" s="209" t="s">
        <v>869</v>
      </c>
      <c r="H341" s="220" t="s">
        <v>29</v>
      </c>
      <c r="I341" s="20" t="s">
        <v>63</v>
      </c>
      <c r="J341" s="154" t="s">
        <v>64</v>
      </c>
      <c r="K341" s="154">
        <v>9.779272314E9</v>
      </c>
      <c r="L341" s="209">
        <v>126.0</v>
      </c>
      <c r="M341" s="175"/>
      <c r="N341" s="175"/>
      <c r="O341" s="175"/>
      <c r="P341" s="175"/>
      <c r="Q341" s="209">
        <v>24.0</v>
      </c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5"/>
      <c r="AS341" s="175"/>
      <c r="AT341" s="175"/>
      <c r="AU341" s="175"/>
      <c r="AV341" s="175"/>
      <c r="AW341" s="175"/>
      <c r="AX341" s="175"/>
    </row>
    <row r="342">
      <c r="A342" s="216" t="s">
        <v>519</v>
      </c>
      <c r="B342" s="216" t="s">
        <v>514</v>
      </c>
      <c r="C342" s="204" t="s">
        <v>940</v>
      </c>
      <c r="D342" s="204" t="s">
        <v>941</v>
      </c>
      <c r="E342" s="204" t="s">
        <v>634</v>
      </c>
      <c r="F342" s="241">
        <v>6.26048193E8</v>
      </c>
      <c r="G342" s="203" t="s">
        <v>869</v>
      </c>
      <c r="H342" s="216">
        <v>1100.0</v>
      </c>
      <c r="I342" s="47" t="s">
        <v>846</v>
      </c>
      <c r="J342" s="185" t="s">
        <v>141</v>
      </c>
      <c r="K342" s="204">
        <v>8.506009561E9</v>
      </c>
      <c r="L342" s="216">
        <v>3060.0</v>
      </c>
      <c r="M342" s="186"/>
      <c r="N342" s="186"/>
      <c r="O342" s="186"/>
      <c r="P342" s="186"/>
      <c r="Q342" s="204">
        <v>500.0</v>
      </c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>
      <c r="A343" s="220" t="s">
        <v>519</v>
      </c>
      <c r="B343" s="220" t="s">
        <v>514</v>
      </c>
      <c r="C343" s="202" t="s">
        <v>750</v>
      </c>
      <c r="D343" s="260" t="s">
        <v>942</v>
      </c>
      <c r="E343" s="202" t="s">
        <v>634</v>
      </c>
      <c r="F343" s="241">
        <v>6.26048194E8</v>
      </c>
      <c r="G343" s="209" t="s">
        <v>869</v>
      </c>
      <c r="H343" s="220">
        <v>1097.0</v>
      </c>
      <c r="I343" s="74" t="s">
        <v>905</v>
      </c>
      <c r="J343" s="154" t="s">
        <v>141</v>
      </c>
      <c r="K343" s="202">
        <v>8.423757377E9</v>
      </c>
      <c r="L343" s="220">
        <v>3000.0</v>
      </c>
      <c r="M343" s="175"/>
      <c r="N343" s="175"/>
      <c r="O343" s="175"/>
      <c r="P343" s="175"/>
      <c r="Q343" s="202">
        <v>500.0</v>
      </c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5"/>
      <c r="AJ343" s="175"/>
      <c r="AK343" s="175"/>
      <c r="AL343" s="175"/>
      <c r="AM343" s="175"/>
      <c r="AN343" s="175"/>
      <c r="AO343" s="175"/>
      <c r="AP343" s="175"/>
      <c r="AQ343" s="175"/>
      <c r="AR343" s="175"/>
      <c r="AS343" s="175"/>
      <c r="AT343" s="175"/>
      <c r="AU343" s="175"/>
      <c r="AV343" s="175"/>
      <c r="AW343" s="175"/>
      <c r="AX343" s="175"/>
    </row>
    <row r="344">
      <c r="A344" s="216" t="s">
        <v>519</v>
      </c>
      <c r="B344" s="216" t="s">
        <v>519</v>
      </c>
      <c r="C344" s="204" t="s">
        <v>807</v>
      </c>
      <c r="D344" s="204" t="s">
        <v>808</v>
      </c>
      <c r="E344" s="204" t="s">
        <v>634</v>
      </c>
      <c r="F344" s="241">
        <v>6.26048199E8</v>
      </c>
      <c r="G344" s="216" t="s">
        <v>918</v>
      </c>
      <c r="H344" s="216">
        <v>6745.0</v>
      </c>
      <c r="I344" s="20" t="s">
        <v>69</v>
      </c>
      <c r="J344" s="185" t="s">
        <v>56</v>
      </c>
      <c r="K344" s="203">
        <v>9.899885211E9</v>
      </c>
      <c r="L344" s="268">
        <f>6.55*1000</f>
        <v>6550</v>
      </c>
      <c r="M344" s="186"/>
      <c r="N344" s="186"/>
      <c r="O344" s="186"/>
      <c r="P344" s="186"/>
      <c r="Q344" s="185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</row>
    <row r="345">
      <c r="A345" s="220" t="s">
        <v>519</v>
      </c>
      <c r="B345" s="220" t="s">
        <v>519</v>
      </c>
      <c r="C345" s="202" t="s">
        <v>807</v>
      </c>
      <c r="D345" s="202" t="s">
        <v>808</v>
      </c>
      <c r="E345" s="202" t="s">
        <v>634</v>
      </c>
      <c r="F345" s="241">
        <v>6.26048205E8</v>
      </c>
      <c r="G345" s="220" t="s">
        <v>918</v>
      </c>
      <c r="H345" s="220">
        <v>6745.0</v>
      </c>
      <c r="I345" s="20" t="s">
        <v>69</v>
      </c>
      <c r="J345" s="154" t="s">
        <v>56</v>
      </c>
      <c r="K345" s="209">
        <v>9.899885211E9</v>
      </c>
      <c r="L345" s="269">
        <f>6.55*500</f>
        <v>3275</v>
      </c>
      <c r="M345" s="175"/>
      <c r="N345" s="175"/>
      <c r="O345" s="175"/>
      <c r="P345" s="175"/>
      <c r="Q345" s="154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175"/>
      <c r="AE345" s="175"/>
      <c r="AF345" s="175"/>
      <c r="AG345" s="175"/>
      <c r="AH345" s="175"/>
      <c r="AI345" s="175"/>
      <c r="AJ345" s="175"/>
      <c r="AK345" s="175"/>
      <c r="AL345" s="175"/>
      <c r="AM345" s="175"/>
      <c r="AN345" s="175"/>
      <c r="AO345" s="175"/>
      <c r="AP345" s="175"/>
      <c r="AQ345" s="175"/>
      <c r="AR345" s="175"/>
      <c r="AS345" s="175"/>
      <c r="AT345" s="175"/>
      <c r="AU345" s="175"/>
      <c r="AV345" s="175"/>
      <c r="AW345" s="175"/>
      <c r="AX345" s="175"/>
    </row>
    <row r="346">
      <c r="A346" s="268"/>
      <c r="B346" s="185"/>
      <c r="C346" s="204"/>
      <c r="D346" s="185"/>
      <c r="E346" s="185"/>
      <c r="F346" s="204"/>
      <c r="G346" s="215"/>
      <c r="H346" s="186"/>
      <c r="I346" s="185"/>
      <c r="J346" s="185"/>
      <c r="K346" s="203"/>
      <c r="M346" s="186"/>
      <c r="N346" s="186"/>
      <c r="O346" s="186"/>
      <c r="P346" s="186"/>
      <c r="Q346" s="185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</row>
    <row r="347">
      <c r="A347" s="269"/>
      <c r="B347" s="154"/>
      <c r="C347" s="202"/>
      <c r="D347" s="154"/>
      <c r="E347" s="154"/>
      <c r="F347" s="202"/>
      <c r="G347" s="211"/>
      <c r="H347" s="175"/>
      <c r="I347" s="154"/>
      <c r="J347" s="154"/>
      <c r="K347" s="209"/>
      <c r="L347" s="270">
        <f>SUM(L328:L346)</f>
        <v>53811</v>
      </c>
      <c r="M347" s="175"/>
      <c r="N347" s="175"/>
      <c r="O347" s="175"/>
      <c r="P347" s="175"/>
      <c r="Q347" s="154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175"/>
      <c r="AE347" s="175"/>
      <c r="AF347" s="175"/>
      <c r="AG347" s="175"/>
      <c r="AH347" s="175"/>
      <c r="AI347" s="175"/>
      <c r="AJ347" s="175"/>
      <c r="AK347" s="175"/>
      <c r="AL347" s="175"/>
      <c r="AM347" s="175"/>
      <c r="AN347" s="175"/>
      <c r="AO347" s="175"/>
      <c r="AP347" s="175"/>
      <c r="AQ347" s="175"/>
      <c r="AR347" s="175"/>
      <c r="AS347" s="175"/>
      <c r="AT347" s="175"/>
      <c r="AU347" s="175"/>
      <c r="AV347" s="175"/>
      <c r="AW347" s="175"/>
      <c r="AX347" s="175"/>
    </row>
    <row r="348">
      <c r="A348" s="240" t="s">
        <v>524</v>
      </c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9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2"/>
      <c r="AZ348" s="2"/>
      <c r="BA348" s="2"/>
      <c r="BB348" s="2"/>
      <c r="BC348" s="2"/>
      <c r="BD348" s="2"/>
    </row>
    <row r="349" ht="42.0" customHeight="1">
      <c r="A349" s="195" t="s">
        <v>0</v>
      </c>
      <c r="B349" s="195" t="s">
        <v>1</v>
      </c>
      <c r="C349" s="196" t="s">
        <v>2</v>
      </c>
      <c r="D349" s="196" t="s">
        <v>3</v>
      </c>
      <c r="E349" s="196" t="s">
        <v>4</v>
      </c>
      <c r="F349" s="196" t="s">
        <v>642</v>
      </c>
      <c r="G349" s="196" t="s">
        <v>643</v>
      </c>
      <c r="H349" s="196" t="s">
        <v>7</v>
      </c>
      <c r="I349" s="196" t="s">
        <v>8</v>
      </c>
      <c r="J349" s="196" t="s">
        <v>9</v>
      </c>
      <c r="K349" s="197" t="s">
        <v>10</v>
      </c>
      <c r="L349" s="197" t="s">
        <v>644</v>
      </c>
      <c r="M349" s="198" t="s">
        <v>645</v>
      </c>
      <c r="N349" s="196" t="s">
        <v>13</v>
      </c>
      <c r="O349" s="199" t="s">
        <v>14</v>
      </c>
      <c r="P349" s="200" t="s">
        <v>646</v>
      </c>
      <c r="Q349" s="197" t="s">
        <v>647</v>
      </c>
      <c r="R349" s="196" t="s">
        <v>16</v>
      </c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  <c r="BC349" s="201"/>
      <c r="BD349" s="201"/>
    </row>
    <row r="350">
      <c r="A350" s="216" t="s">
        <v>524</v>
      </c>
      <c r="B350" s="203" t="s">
        <v>519</v>
      </c>
      <c r="C350" s="203" t="s">
        <v>912</v>
      </c>
      <c r="D350" s="216" t="s">
        <v>913</v>
      </c>
      <c r="E350" s="216" t="s">
        <v>634</v>
      </c>
      <c r="F350" s="98">
        <v>6.26048202E8</v>
      </c>
      <c r="G350" s="203" t="s">
        <v>943</v>
      </c>
      <c r="H350" s="216">
        <v>6749.0</v>
      </c>
      <c r="I350" s="50" t="s">
        <v>360</v>
      </c>
      <c r="J350" s="185" t="s">
        <v>56</v>
      </c>
      <c r="K350" s="204">
        <v>7.355962044E9</v>
      </c>
      <c r="L350" s="203">
        <v>3000.0</v>
      </c>
      <c r="M350" s="186"/>
      <c r="N350" s="186"/>
      <c r="O350" s="186"/>
      <c r="P350" s="186"/>
      <c r="Q350" s="203">
        <v>500.0</v>
      </c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</row>
    <row r="351">
      <c r="A351" s="220" t="s">
        <v>524</v>
      </c>
      <c r="B351" s="209" t="s">
        <v>519</v>
      </c>
      <c r="C351" s="220" t="s">
        <v>917</v>
      </c>
      <c r="D351" s="220" t="s">
        <v>692</v>
      </c>
      <c r="E351" s="220" t="s">
        <v>634</v>
      </c>
      <c r="F351" s="100">
        <v>6.2604821E8</v>
      </c>
      <c r="G351" s="220" t="s">
        <v>920</v>
      </c>
      <c r="H351" s="220">
        <v>6746.0</v>
      </c>
      <c r="I351" s="52" t="s">
        <v>55</v>
      </c>
      <c r="J351" s="253" t="s">
        <v>56</v>
      </c>
      <c r="K351" s="254">
        <v>9.718858411E9</v>
      </c>
      <c r="L351" s="209">
        <f>1900*6</f>
        <v>11400</v>
      </c>
      <c r="M351" s="175"/>
      <c r="N351" s="175"/>
      <c r="O351" s="175"/>
      <c r="P351" s="175"/>
      <c r="Q351" s="220">
        <v>1900.0</v>
      </c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  <c r="AI351" s="175"/>
      <c r="AJ351" s="175"/>
      <c r="AK351" s="175"/>
      <c r="AL351" s="175"/>
      <c r="AM351" s="175"/>
      <c r="AN351" s="175"/>
      <c r="AO351" s="175"/>
      <c r="AP351" s="175"/>
      <c r="AQ351" s="175"/>
      <c r="AR351" s="175"/>
      <c r="AS351" s="175"/>
      <c r="AT351" s="175"/>
      <c r="AU351" s="175"/>
      <c r="AV351" s="175"/>
      <c r="AW351" s="175"/>
      <c r="AX351" s="175"/>
    </row>
    <row r="352">
      <c r="A352" s="216" t="s">
        <v>524</v>
      </c>
      <c r="B352" s="203" t="s">
        <v>519</v>
      </c>
      <c r="C352" s="203" t="s">
        <v>894</v>
      </c>
      <c r="D352" s="203" t="s">
        <v>944</v>
      </c>
      <c r="E352" s="216" t="s">
        <v>634</v>
      </c>
      <c r="F352" s="98">
        <v>6.260482E8</v>
      </c>
      <c r="G352" s="203" t="s">
        <v>943</v>
      </c>
      <c r="H352" s="216">
        <v>1151.0</v>
      </c>
      <c r="I352" s="52" t="s">
        <v>511</v>
      </c>
      <c r="J352" s="185" t="s">
        <v>141</v>
      </c>
      <c r="K352" s="185">
        <v>8.285997574E9</v>
      </c>
      <c r="L352" s="203">
        <v>3000.0</v>
      </c>
      <c r="M352" s="186"/>
      <c r="N352" s="186"/>
      <c r="O352" s="186"/>
      <c r="P352" s="186"/>
      <c r="Q352" s="203">
        <v>250.0</v>
      </c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</row>
    <row r="353">
      <c r="A353" s="220" t="s">
        <v>524</v>
      </c>
      <c r="B353" s="209" t="s">
        <v>519</v>
      </c>
      <c r="C353" s="209" t="s">
        <v>763</v>
      </c>
      <c r="D353" s="209" t="s">
        <v>764</v>
      </c>
      <c r="E353" s="220" t="s">
        <v>634</v>
      </c>
      <c r="F353" s="98">
        <v>6.26048209E8</v>
      </c>
      <c r="G353" s="209" t="s">
        <v>943</v>
      </c>
      <c r="H353" s="220">
        <v>1152.0</v>
      </c>
      <c r="I353" s="74" t="s">
        <v>931</v>
      </c>
      <c r="J353" s="202" t="s">
        <v>141</v>
      </c>
      <c r="K353" s="202">
        <v>8.882065568E9</v>
      </c>
      <c r="L353" s="209">
        <v>3000.0</v>
      </c>
      <c r="M353" s="175"/>
      <c r="N353" s="175"/>
      <c r="O353" s="175"/>
      <c r="P353" s="175"/>
      <c r="Q353" s="209">
        <v>250.0</v>
      </c>
      <c r="R353" s="175"/>
      <c r="S353" s="175"/>
      <c r="T353" s="175"/>
      <c r="U353" s="175"/>
      <c r="V353" s="175"/>
      <c r="W353" s="175"/>
      <c r="X353" s="175"/>
      <c r="Y353" s="175"/>
      <c r="Z353" s="175"/>
      <c r="AA353" s="175"/>
      <c r="AB353" s="175"/>
      <c r="AC353" s="175"/>
      <c r="AD353" s="175"/>
      <c r="AE353" s="175"/>
      <c r="AF353" s="175"/>
      <c r="AG353" s="175"/>
      <c r="AH353" s="175"/>
      <c r="AI353" s="175"/>
      <c r="AJ353" s="175"/>
      <c r="AK353" s="175"/>
      <c r="AL353" s="175"/>
      <c r="AM353" s="175"/>
      <c r="AN353" s="175"/>
      <c r="AO353" s="175"/>
      <c r="AP353" s="175"/>
      <c r="AQ353" s="175"/>
      <c r="AR353" s="175"/>
      <c r="AS353" s="175"/>
      <c r="AT353" s="175"/>
      <c r="AU353" s="175"/>
      <c r="AV353" s="175"/>
      <c r="AW353" s="175"/>
      <c r="AX353" s="175"/>
    </row>
    <row r="354">
      <c r="A354" s="216" t="s">
        <v>524</v>
      </c>
      <c r="B354" s="203" t="s">
        <v>519</v>
      </c>
      <c r="C354" s="203" t="s">
        <v>901</v>
      </c>
      <c r="D354" s="203" t="s">
        <v>945</v>
      </c>
      <c r="E354" s="216" t="s">
        <v>634</v>
      </c>
      <c r="F354" s="98">
        <v>6.26048204E8</v>
      </c>
      <c r="G354" s="203" t="s">
        <v>943</v>
      </c>
      <c r="H354" s="216">
        <v>1153.0</v>
      </c>
      <c r="I354" s="74" t="s">
        <v>946</v>
      </c>
      <c r="J354" s="216" t="s">
        <v>141</v>
      </c>
      <c r="K354" s="216">
        <v>8.802622617E9</v>
      </c>
      <c r="L354" s="203">
        <v>3000.0</v>
      </c>
      <c r="M354" s="186"/>
      <c r="N354" s="186"/>
      <c r="O354" s="186"/>
      <c r="P354" s="186"/>
      <c r="Q354" s="203">
        <v>500.0</v>
      </c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</row>
    <row r="355">
      <c r="A355" s="220" t="s">
        <v>524</v>
      </c>
      <c r="B355" s="209" t="s">
        <v>519</v>
      </c>
      <c r="C355" s="209" t="s">
        <v>863</v>
      </c>
      <c r="D355" s="209" t="s">
        <v>947</v>
      </c>
      <c r="E355" s="220" t="s">
        <v>634</v>
      </c>
      <c r="F355" s="98">
        <v>6.26048207E8</v>
      </c>
      <c r="G355" s="209" t="s">
        <v>892</v>
      </c>
      <c r="H355" s="220">
        <v>6747.0</v>
      </c>
      <c r="I355" s="20" t="s">
        <v>127</v>
      </c>
      <c r="J355" s="154" t="s">
        <v>56</v>
      </c>
      <c r="K355" s="154">
        <v>8.826871385E9</v>
      </c>
      <c r="L355" s="209">
        <v>3000.0</v>
      </c>
      <c r="M355" s="175"/>
      <c r="N355" s="175"/>
      <c r="O355" s="175"/>
      <c r="P355" s="175"/>
      <c r="Q355" s="209">
        <v>250.0</v>
      </c>
      <c r="R355" s="175"/>
      <c r="S355" s="175"/>
      <c r="T355" s="175"/>
      <c r="U355" s="175"/>
      <c r="V355" s="175"/>
      <c r="W355" s="175"/>
      <c r="X355" s="175"/>
      <c r="Y355" s="175"/>
      <c r="Z355" s="175"/>
      <c r="AA355" s="175"/>
      <c r="AB355" s="175"/>
      <c r="AC355" s="175"/>
      <c r="AD355" s="175"/>
      <c r="AE355" s="175"/>
      <c r="AF355" s="175"/>
      <c r="AG355" s="175"/>
      <c r="AH355" s="175"/>
      <c r="AI355" s="175"/>
      <c r="AJ355" s="175"/>
      <c r="AK355" s="175"/>
      <c r="AL355" s="175"/>
      <c r="AM355" s="175"/>
      <c r="AN355" s="175"/>
      <c r="AO355" s="175"/>
      <c r="AP355" s="175"/>
      <c r="AQ355" s="175"/>
      <c r="AR355" s="175"/>
      <c r="AS355" s="175"/>
      <c r="AT355" s="175"/>
      <c r="AU355" s="175"/>
      <c r="AV355" s="175"/>
      <c r="AW355" s="175"/>
      <c r="AX355" s="175"/>
    </row>
    <row r="356">
      <c r="A356" s="216" t="s">
        <v>524</v>
      </c>
      <c r="B356" s="203" t="s">
        <v>519</v>
      </c>
      <c r="C356" s="203" t="s">
        <v>822</v>
      </c>
      <c r="D356" s="203" t="s">
        <v>948</v>
      </c>
      <c r="E356" s="216" t="s">
        <v>634</v>
      </c>
      <c r="F356" s="98">
        <v>6.26048208E8</v>
      </c>
      <c r="G356" s="203" t="s">
        <v>892</v>
      </c>
      <c r="H356" s="216">
        <v>6748.0</v>
      </c>
      <c r="I356" s="20" t="s">
        <v>127</v>
      </c>
      <c r="J356" s="185" t="s">
        <v>56</v>
      </c>
      <c r="K356" s="185">
        <v>8.826871385E9</v>
      </c>
      <c r="L356" s="203">
        <v>3000.0</v>
      </c>
      <c r="M356" s="186"/>
      <c r="N356" s="186"/>
      <c r="O356" s="186"/>
      <c r="P356" s="186"/>
      <c r="Q356" s="203">
        <v>500.0</v>
      </c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</row>
    <row r="357">
      <c r="A357" s="220" t="s">
        <v>524</v>
      </c>
      <c r="B357" s="209" t="s">
        <v>519</v>
      </c>
      <c r="C357" s="209" t="s">
        <v>912</v>
      </c>
      <c r="D357" s="220" t="s">
        <v>913</v>
      </c>
      <c r="E357" s="220" t="s">
        <v>634</v>
      </c>
      <c r="F357" s="98">
        <v>6.26048203E8</v>
      </c>
      <c r="G357" s="209" t="s">
        <v>943</v>
      </c>
      <c r="H357" s="220">
        <v>6750.0</v>
      </c>
      <c r="I357" s="50" t="s">
        <v>124</v>
      </c>
      <c r="J357" s="154" t="s">
        <v>56</v>
      </c>
      <c r="K357" s="202">
        <v>7.290982776E9</v>
      </c>
      <c r="L357" s="209">
        <v>3000.0</v>
      </c>
      <c r="M357" s="175"/>
      <c r="N357" s="175"/>
      <c r="O357" s="175"/>
      <c r="P357" s="175"/>
      <c r="Q357" s="209">
        <v>500.0</v>
      </c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  <c r="AC357" s="175"/>
      <c r="AD357" s="175"/>
      <c r="AE357" s="175"/>
      <c r="AF357" s="175"/>
      <c r="AG357" s="175"/>
      <c r="AH357" s="175"/>
      <c r="AI357" s="175"/>
      <c r="AJ357" s="175"/>
      <c r="AK357" s="175"/>
      <c r="AL357" s="175"/>
      <c r="AM357" s="175"/>
      <c r="AN357" s="175"/>
      <c r="AO357" s="175"/>
      <c r="AP357" s="175"/>
      <c r="AQ357" s="175"/>
      <c r="AR357" s="175"/>
      <c r="AS357" s="175"/>
      <c r="AT357" s="175"/>
      <c r="AU357" s="175"/>
      <c r="AV357" s="175"/>
      <c r="AW357" s="175"/>
      <c r="AX357" s="175"/>
    </row>
    <row r="358">
      <c r="A358" s="216" t="s">
        <v>524</v>
      </c>
      <c r="B358" s="216" t="s">
        <v>524</v>
      </c>
      <c r="C358" s="216" t="s">
        <v>949</v>
      </c>
      <c r="D358" s="216" t="s">
        <v>950</v>
      </c>
      <c r="E358" s="216" t="s">
        <v>634</v>
      </c>
      <c r="F358" s="100">
        <v>6.26048211E8</v>
      </c>
      <c r="G358" s="215"/>
      <c r="H358" s="216">
        <v>6753.0</v>
      </c>
      <c r="I358" s="20" t="s">
        <v>69</v>
      </c>
      <c r="J358" s="185" t="s">
        <v>56</v>
      </c>
      <c r="K358" s="203">
        <v>9.899885211E9</v>
      </c>
      <c r="L358" s="216">
        <v>5100.0</v>
      </c>
      <c r="M358" s="186"/>
      <c r="N358" s="186"/>
      <c r="O358" s="186"/>
      <c r="P358" s="186"/>
      <c r="Q358" s="216">
        <v>500.0</v>
      </c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</row>
    <row r="359">
      <c r="A359" s="220" t="s">
        <v>524</v>
      </c>
      <c r="B359" s="220" t="s">
        <v>524</v>
      </c>
      <c r="C359" s="220" t="s">
        <v>951</v>
      </c>
      <c r="D359" s="220" t="s">
        <v>952</v>
      </c>
      <c r="E359" s="220" t="s">
        <v>634</v>
      </c>
      <c r="F359" s="100">
        <v>6.26048214E8</v>
      </c>
      <c r="G359" s="211"/>
      <c r="H359" s="220">
        <v>6752.0</v>
      </c>
      <c r="I359" s="50" t="s">
        <v>360</v>
      </c>
      <c r="J359" s="154" t="s">
        <v>56</v>
      </c>
      <c r="K359" s="202">
        <v>7.355962044E9</v>
      </c>
      <c r="L359" s="220">
        <v>2070.0</v>
      </c>
      <c r="M359" s="154"/>
      <c r="N359" s="154"/>
      <c r="O359" s="154"/>
      <c r="P359" s="154"/>
      <c r="Q359" s="209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51"/>
      <c r="AZ359" s="51"/>
      <c r="BA359" s="51"/>
      <c r="BB359" s="51"/>
      <c r="BC359" s="51"/>
      <c r="BD359" s="51"/>
    </row>
    <row r="360">
      <c r="A360" s="216" t="s">
        <v>524</v>
      </c>
      <c r="B360" s="216" t="s">
        <v>524</v>
      </c>
      <c r="C360" s="216" t="s">
        <v>953</v>
      </c>
      <c r="D360" s="216" t="s">
        <v>954</v>
      </c>
      <c r="E360" s="216" t="s">
        <v>634</v>
      </c>
      <c r="F360" s="100">
        <v>6.26048216E8</v>
      </c>
      <c r="G360" s="215"/>
      <c r="H360" s="216">
        <v>6751.0</v>
      </c>
      <c r="I360" s="50" t="s">
        <v>360</v>
      </c>
      <c r="J360" s="185" t="s">
        <v>56</v>
      </c>
      <c r="K360" s="204">
        <v>7.355962044E9</v>
      </c>
      <c r="L360" s="216">
        <v>1725.0</v>
      </c>
      <c r="M360" s="185"/>
      <c r="N360" s="185"/>
      <c r="O360" s="185"/>
      <c r="P360" s="185"/>
      <c r="Q360" s="203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  <c r="AF360" s="185"/>
      <c r="AG360" s="185"/>
      <c r="AH360" s="185"/>
      <c r="AI360" s="185"/>
      <c r="AJ360" s="185"/>
      <c r="AK360" s="185"/>
      <c r="AL360" s="185"/>
      <c r="AM360" s="185"/>
      <c r="AN360" s="185"/>
      <c r="AO360" s="185"/>
      <c r="AP360" s="185"/>
      <c r="AQ360" s="185"/>
      <c r="AR360" s="185"/>
      <c r="AS360" s="185"/>
      <c r="AT360" s="185"/>
      <c r="AU360" s="185"/>
      <c r="AV360" s="185"/>
      <c r="AW360" s="185"/>
      <c r="AX360" s="185"/>
      <c r="AY360" s="51"/>
      <c r="AZ360" s="51"/>
      <c r="BA360" s="51"/>
      <c r="BB360" s="51"/>
      <c r="BC360" s="51"/>
      <c r="BD360" s="51"/>
    </row>
    <row r="361">
      <c r="A361" s="220"/>
      <c r="B361" s="220"/>
      <c r="C361" s="220"/>
      <c r="D361" s="220"/>
      <c r="E361" s="220"/>
      <c r="F361" s="220"/>
      <c r="G361" s="211"/>
      <c r="H361" s="211"/>
      <c r="K361" s="175"/>
      <c r="L361" s="209"/>
      <c r="M361" s="175"/>
      <c r="N361" s="175"/>
      <c r="O361" s="175"/>
      <c r="P361" s="175"/>
      <c r="Q361" s="209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175"/>
      <c r="AE361" s="175"/>
      <c r="AF361" s="175"/>
      <c r="AG361" s="175"/>
      <c r="AH361" s="175"/>
      <c r="AI361" s="175"/>
      <c r="AJ361" s="175"/>
      <c r="AK361" s="175"/>
      <c r="AL361" s="175"/>
      <c r="AM361" s="175"/>
      <c r="AN361" s="175"/>
      <c r="AO361" s="175"/>
      <c r="AP361" s="175"/>
      <c r="AQ361" s="175"/>
      <c r="AR361" s="175"/>
      <c r="AS361" s="175"/>
      <c r="AT361" s="175"/>
      <c r="AU361" s="175"/>
      <c r="AV361" s="175"/>
      <c r="AW361" s="175"/>
      <c r="AX361" s="175"/>
    </row>
    <row r="362">
      <c r="A362" s="216"/>
      <c r="B362" s="203"/>
      <c r="C362" s="203"/>
      <c r="D362" s="203"/>
      <c r="E362" s="215"/>
      <c r="F362" s="203"/>
      <c r="G362" s="215"/>
      <c r="H362" s="215"/>
      <c r="K362" s="186"/>
      <c r="L362" s="271">
        <f>SUM(L350:L361)</f>
        <v>41295</v>
      </c>
      <c r="M362" s="186"/>
      <c r="N362" s="186"/>
      <c r="O362" s="186"/>
      <c r="P362" s="186"/>
      <c r="Q362" s="203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</row>
    <row r="363">
      <c r="A363" s="206">
        <v>46058.0</v>
      </c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6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175"/>
      <c r="AE363" s="175"/>
      <c r="AF363" s="175"/>
      <c r="AG363" s="175"/>
      <c r="AH363" s="175"/>
      <c r="AI363" s="175"/>
      <c r="AJ363" s="175"/>
      <c r="AK363" s="175"/>
      <c r="AL363" s="175"/>
      <c r="AM363" s="175"/>
      <c r="AN363" s="175"/>
      <c r="AO363" s="175"/>
      <c r="AP363" s="175"/>
      <c r="AQ363" s="175"/>
      <c r="AR363" s="175"/>
      <c r="AS363" s="175"/>
      <c r="AT363" s="175"/>
      <c r="AU363" s="175"/>
      <c r="AV363" s="175"/>
      <c r="AW363" s="175"/>
      <c r="AX363" s="175"/>
      <c r="AY363" s="2"/>
      <c r="AZ363" s="2"/>
      <c r="BA363" s="2"/>
      <c r="BB363" s="2"/>
      <c r="BC363" s="2"/>
      <c r="BD363" s="2"/>
    </row>
    <row r="364" ht="42.0" customHeight="1">
      <c r="A364" s="195" t="s">
        <v>0</v>
      </c>
      <c r="B364" s="195" t="s">
        <v>1</v>
      </c>
      <c r="C364" s="196" t="s">
        <v>2</v>
      </c>
      <c r="D364" s="196" t="s">
        <v>3</v>
      </c>
      <c r="E364" s="196" t="s">
        <v>4</v>
      </c>
      <c r="F364" s="196" t="s">
        <v>642</v>
      </c>
      <c r="G364" s="196" t="s">
        <v>643</v>
      </c>
      <c r="H364" s="196" t="s">
        <v>7</v>
      </c>
      <c r="I364" s="196" t="s">
        <v>8</v>
      </c>
      <c r="J364" s="196" t="s">
        <v>9</v>
      </c>
      <c r="K364" s="197" t="s">
        <v>10</v>
      </c>
      <c r="L364" s="197" t="s">
        <v>644</v>
      </c>
      <c r="M364" s="198" t="s">
        <v>645</v>
      </c>
      <c r="N364" s="196" t="s">
        <v>13</v>
      </c>
      <c r="O364" s="199" t="s">
        <v>14</v>
      </c>
      <c r="P364" s="200" t="s">
        <v>646</v>
      </c>
      <c r="Q364" s="197" t="s">
        <v>647</v>
      </c>
      <c r="R364" s="196" t="s">
        <v>16</v>
      </c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  <c r="BB364" s="201"/>
      <c r="BC364" s="201"/>
      <c r="BD364" s="201"/>
    </row>
    <row r="365">
      <c r="A365" s="272">
        <v>46058.0</v>
      </c>
      <c r="B365" s="209" t="s">
        <v>524</v>
      </c>
      <c r="C365" s="209" t="s">
        <v>955</v>
      </c>
      <c r="D365" s="209" t="s">
        <v>956</v>
      </c>
      <c r="E365" s="154" t="s">
        <v>634</v>
      </c>
      <c r="F365" s="98">
        <v>6.26048219E8</v>
      </c>
      <c r="G365" s="220" t="s">
        <v>888</v>
      </c>
      <c r="H365" s="220">
        <v>1156.0</v>
      </c>
      <c r="I365" s="52" t="s">
        <v>511</v>
      </c>
      <c r="J365" s="154" t="s">
        <v>141</v>
      </c>
      <c r="K365" s="154">
        <v>8.285997574E9</v>
      </c>
      <c r="L365" s="209">
        <v>1575.0</v>
      </c>
      <c r="M365" s="175"/>
      <c r="N365" s="175"/>
      <c r="O365" s="175"/>
      <c r="P365" s="175"/>
      <c r="Q365" s="209">
        <v>250.0</v>
      </c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  <c r="AC365" s="175"/>
      <c r="AD365" s="175"/>
      <c r="AE365" s="175"/>
      <c r="AF365" s="175"/>
      <c r="AG365" s="175"/>
      <c r="AH365" s="175"/>
      <c r="AI365" s="175"/>
      <c r="AJ365" s="175"/>
      <c r="AK365" s="175"/>
      <c r="AL365" s="175"/>
      <c r="AM365" s="175"/>
      <c r="AN365" s="175"/>
      <c r="AO365" s="175"/>
      <c r="AP365" s="175"/>
      <c r="AQ365" s="175"/>
      <c r="AR365" s="175"/>
      <c r="AS365" s="175"/>
      <c r="AT365" s="175"/>
      <c r="AU365" s="175"/>
      <c r="AV365" s="175"/>
      <c r="AW365" s="175"/>
      <c r="AX365" s="175"/>
    </row>
    <row r="366">
      <c r="A366" s="273">
        <v>46058.0</v>
      </c>
      <c r="B366" s="216" t="s">
        <v>524</v>
      </c>
      <c r="C366" s="216" t="s">
        <v>957</v>
      </c>
      <c r="D366" s="216" t="s">
        <v>958</v>
      </c>
      <c r="E366" s="216" t="s">
        <v>634</v>
      </c>
      <c r="F366" s="100">
        <v>6.26048222E8</v>
      </c>
      <c r="G366" s="203" t="s">
        <v>888</v>
      </c>
      <c r="H366" s="216">
        <v>1157.0</v>
      </c>
      <c r="I366" s="52" t="s">
        <v>511</v>
      </c>
      <c r="J366" s="185" t="s">
        <v>141</v>
      </c>
      <c r="K366" s="185">
        <v>8.285997574E9</v>
      </c>
      <c r="L366" s="216">
        <v>1575.0</v>
      </c>
      <c r="M366" s="185"/>
      <c r="N366" s="185"/>
      <c r="O366" s="185"/>
      <c r="P366" s="185"/>
      <c r="Q366" s="216">
        <v>250.0</v>
      </c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  <c r="AF366" s="185"/>
      <c r="AG366" s="185"/>
      <c r="AH366" s="185"/>
      <c r="AI366" s="185"/>
      <c r="AJ366" s="185"/>
      <c r="AK366" s="185"/>
      <c r="AL366" s="185"/>
      <c r="AM366" s="185"/>
      <c r="AN366" s="185"/>
      <c r="AO366" s="185"/>
      <c r="AP366" s="185"/>
      <c r="AQ366" s="185"/>
      <c r="AR366" s="185"/>
      <c r="AS366" s="185"/>
      <c r="AT366" s="185"/>
      <c r="AU366" s="185"/>
      <c r="AV366" s="185"/>
      <c r="AW366" s="185"/>
      <c r="AX366" s="185"/>
      <c r="AY366" s="51"/>
      <c r="AZ366" s="51"/>
      <c r="BA366" s="51"/>
      <c r="BB366" s="51"/>
      <c r="BC366" s="51"/>
      <c r="BD366" s="51"/>
    </row>
    <row r="367">
      <c r="A367" s="272">
        <v>46058.0</v>
      </c>
      <c r="B367" s="209" t="s">
        <v>524</v>
      </c>
      <c r="C367" s="209" t="s">
        <v>909</v>
      </c>
      <c r="D367" s="209" t="s">
        <v>910</v>
      </c>
      <c r="E367" s="154" t="s">
        <v>634</v>
      </c>
      <c r="F367" s="98">
        <v>6.26048223E8</v>
      </c>
      <c r="G367" s="209" t="s">
        <v>888</v>
      </c>
      <c r="H367" s="220">
        <v>1155.0</v>
      </c>
      <c r="I367" s="74" t="s">
        <v>946</v>
      </c>
      <c r="J367" s="220" t="s">
        <v>141</v>
      </c>
      <c r="K367" s="220">
        <v>8.802622617E9</v>
      </c>
      <c r="L367" s="209">
        <v>3000.0</v>
      </c>
      <c r="M367" s="175"/>
      <c r="N367" s="175"/>
      <c r="O367" s="175"/>
      <c r="P367" s="175"/>
      <c r="Q367" s="209">
        <v>500.0</v>
      </c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175"/>
      <c r="AE367" s="175"/>
      <c r="AF367" s="175"/>
      <c r="AG367" s="175"/>
      <c r="AH367" s="175"/>
      <c r="AI367" s="175"/>
      <c r="AJ367" s="175"/>
      <c r="AK367" s="175"/>
      <c r="AL367" s="175"/>
      <c r="AM367" s="175"/>
      <c r="AN367" s="175"/>
      <c r="AO367" s="175"/>
      <c r="AP367" s="175"/>
      <c r="AQ367" s="175"/>
      <c r="AR367" s="175"/>
      <c r="AS367" s="175"/>
      <c r="AT367" s="175"/>
      <c r="AU367" s="175"/>
      <c r="AV367" s="175"/>
      <c r="AW367" s="175"/>
      <c r="AX367" s="175"/>
    </row>
    <row r="368">
      <c r="A368" s="273">
        <v>46058.0</v>
      </c>
      <c r="B368" s="203" t="s">
        <v>524</v>
      </c>
      <c r="C368" s="203" t="s">
        <v>735</v>
      </c>
      <c r="D368" s="203" t="s">
        <v>736</v>
      </c>
      <c r="E368" s="185" t="s">
        <v>634</v>
      </c>
      <c r="F368" s="98">
        <v>6.2604822E8</v>
      </c>
      <c r="G368" s="203" t="s">
        <v>888</v>
      </c>
      <c r="H368" s="216">
        <v>6756.0</v>
      </c>
      <c r="I368" s="50" t="s">
        <v>124</v>
      </c>
      <c r="J368" s="185" t="s">
        <v>56</v>
      </c>
      <c r="K368" s="204">
        <v>7.290982776E9</v>
      </c>
      <c r="L368" s="203">
        <v>3300.0</v>
      </c>
      <c r="M368" s="186"/>
      <c r="N368" s="186"/>
      <c r="O368" s="186"/>
      <c r="P368" s="186"/>
      <c r="Q368" s="203">
        <v>350.0</v>
      </c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</row>
    <row r="369">
      <c r="A369" s="272">
        <v>46058.0</v>
      </c>
      <c r="B369" s="209" t="s">
        <v>524</v>
      </c>
      <c r="C369" s="209" t="s">
        <v>959</v>
      </c>
      <c r="D369" s="209" t="s">
        <v>960</v>
      </c>
      <c r="E369" s="154" t="s">
        <v>634</v>
      </c>
      <c r="F369" s="98">
        <v>6.26048225E8</v>
      </c>
      <c r="G369" s="209" t="s">
        <v>888</v>
      </c>
      <c r="H369" s="220">
        <v>1158.0</v>
      </c>
      <c r="I369" s="74" t="s">
        <v>908</v>
      </c>
      <c r="J369" s="154" t="s">
        <v>141</v>
      </c>
      <c r="K369" s="202">
        <v>9.319618305E9</v>
      </c>
      <c r="L369" s="209">
        <v>3000.0</v>
      </c>
      <c r="M369" s="175"/>
      <c r="N369" s="175"/>
      <c r="O369" s="175"/>
      <c r="P369" s="175"/>
      <c r="Q369" s="209">
        <v>300.0</v>
      </c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  <c r="AF369" s="175"/>
      <c r="AG369" s="175"/>
      <c r="AH369" s="175"/>
      <c r="AI369" s="175"/>
      <c r="AJ369" s="175"/>
      <c r="AK369" s="175"/>
      <c r="AL369" s="175"/>
      <c r="AM369" s="175"/>
      <c r="AN369" s="175"/>
      <c r="AO369" s="175"/>
      <c r="AP369" s="175"/>
      <c r="AQ369" s="175"/>
      <c r="AR369" s="175"/>
      <c r="AS369" s="175"/>
      <c r="AT369" s="175"/>
      <c r="AU369" s="175"/>
      <c r="AV369" s="175"/>
      <c r="AW369" s="175"/>
      <c r="AX369" s="175"/>
    </row>
    <row r="370">
      <c r="A370" s="273">
        <v>46058.0</v>
      </c>
      <c r="B370" s="203" t="s">
        <v>524</v>
      </c>
      <c r="C370" s="203" t="s">
        <v>726</v>
      </c>
      <c r="D370" s="274" t="s">
        <v>727</v>
      </c>
      <c r="E370" s="185" t="s">
        <v>634</v>
      </c>
      <c r="F370" s="98">
        <v>6.26048236E8</v>
      </c>
      <c r="G370" s="203" t="s">
        <v>888</v>
      </c>
      <c r="H370" s="216">
        <v>6758.0</v>
      </c>
      <c r="I370" s="50" t="s">
        <v>360</v>
      </c>
      <c r="J370" s="185" t="s">
        <v>56</v>
      </c>
      <c r="K370" s="204">
        <v>7.355962044E9</v>
      </c>
      <c r="L370" s="203">
        <v>3600.0</v>
      </c>
      <c r="M370" s="186"/>
      <c r="N370" s="186"/>
      <c r="O370" s="186"/>
      <c r="P370" s="186"/>
      <c r="Q370" s="203">
        <v>350.0</v>
      </c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</row>
    <row r="371">
      <c r="A371" s="272">
        <v>46058.0</v>
      </c>
      <c r="B371" s="209" t="s">
        <v>524</v>
      </c>
      <c r="C371" s="209" t="s">
        <v>807</v>
      </c>
      <c r="D371" s="209" t="s">
        <v>866</v>
      </c>
      <c r="E371" s="154" t="s">
        <v>634</v>
      </c>
      <c r="F371" s="98">
        <v>6.26048253E8</v>
      </c>
      <c r="G371" s="209" t="s">
        <v>961</v>
      </c>
      <c r="H371" s="220">
        <v>6757.0</v>
      </c>
      <c r="I371" s="20" t="s">
        <v>148</v>
      </c>
      <c r="J371" s="154" t="s">
        <v>56</v>
      </c>
      <c r="K371" s="154">
        <v>8.799720529E9</v>
      </c>
      <c r="L371" s="220">
        <v>7200.0</v>
      </c>
      <c r="M371" s="175"/>
      <c r="N371" s="175"/>
      <c r="O371" s="175"/>
      <c r="P371" s="175"/>
      <c r="Q371" s="209">
        <v>1200.0</v>
      </c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  <c r="AI371" s="175"/>
      <c r="AJ371" s="175"/>
      <c r="AK371" s="175"/>
      <c r="AL371" s="175"/>
      <c r="AM371" s="175"/>
      <c r="AN371" s="175"/>
      <c r="AO371" s="175"/>
      <c r="AP371" s="175"/>
      <c r="AQ371" s="175"/>
      <c r="AR371" s="175"/>
      <c r="AS371" s="175"/>
      <c r="AT371" s="175"/>
      <c r="AU371" s="175"/>
      <c r="AV371" s="175"/>
      <c r="AW371" s="175"/>
      <c r="AX371" s="175"/>
    </row>
    <row r="372">
      <c r="A372" s="273">
        <v>46058.0</v>
      </c>
      <c r="B372" s="203" t="s">
        <v>524</v>
      </c>
      <c r="C372" s="203" t="s">
        <v>807</v>
      </c>
      <c r="D372" s="203" t="s">
        <v>866</v>
      </c>
      <c r="E372" s="185" t="s">
        <v>634</v>
      </c>
      <c r="F372" s="98">
        <v>6.26048254E8</v>
      </c>
      <c r="G372" s="203" t="s">
        <v>961</v>
      </c>
      <c r="H372" s="216">
        <v>6757.0</v>
      </c>
      <c r="I372" s="20" t="s">
        <v>148</v>
      </c>
      <c r="J372" s="185" t="s">
        <v>56</v>
      </c>
      <c r="K372" s="185">
        <v>8.799720529E9</v>
      </c>
      <c r="L372" s="216">
        <v>6000.0</v>
      </c>
      <c r="M372" s="186"/>
      <c r="N372" s="186"/>
      <c r="O372" s="186"/>
      <c r="P372" s="186"/>
      <c r="Q372" s="203">
        <v>1000.0</v>
      </c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</row>
    <row r="373">
      <c r="A373" s="272">
        <v>46058.0</v>
      </c>
      <c r="B373" s="209" t="s">
        <v>524</v>
      </c>
      <c r="C373" s="209" t="s">
        <v>962</v>
      </c>
      <c r="D373" s="209" t="s">
        <v>963</v>
      </c>
      <c r="E373" s="220" t="s">
        <v>650</v>
      </c>
      <c r="F373" s="209">
        <v>6.26048238E8</v>
      </c>
      <c r="G373" s="209" t="s">
        <v>888</v>
      </c>
      <c r="H373" s="220" t="s">
        <v>29</v>
      </c>
      <c r="I373" s="20" t="s">
        <v>63</v>
      </c>
      <c r="J373" s="154" t="s">
        <v>64</v>
      </c>
      <c r="K373" s="154">
        <v>9.779272314E9</v>
      </c>
      <c r="L373" s="209">
        <v>3000.0</v>
      </c>
      <c r="M373" s="175"/>
      <c r="N373" s="175"/>
      <c r="O373" s="175"/>
      <c r="P373" s="175"/>
      <c r="Q373" s="209">
        <v>375.0</v>
      </c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  <c r="AC373" s="175"/>
      <c r="AD373" s="175"/>
      <c r="AE373" s="175"/>
      <c r="AF373" s="175"/>
      <c r="AG373" s="175"/>
      <c r="AH373" s="175"/>
      <c r="AI373" s="175"/>
      <c r="AJ373" s="175"/>
      <c r="AK373" s="175"/>
      <c r="AL373" s="175"/>
      <c r="AM373" s="175"/>
      <c r="AN373" s="175"/>
      <c r="AO373" s="175"/>
      <c r="AP373" s="175"/>
      <c r="AQ373" s="175"/>
      <c r="AR373" s="175"/>
      <c r="AS373" s="175"/>
      <c r="AT373" s="175"/>
      <c r="AU373" s="175"/>
      <c r="AV373" s="175"/>
      <c r="AW373" s="175"/>
      <c r="AX373" s="175"/>
    </row>
    <row r="374">
      <c r="A374" s="273">
        <v>46058.0</v>
      </c>
      <c r="B374" s="203" t="s">
        <v>524</v>
      </c>
      <c r="C374" s="203" t="s">
        <v>964</v>
      </c>
      <c r="D374" s="216" t="s">
        <v>965</v>
      </c>
      <c r="E374" s="185" t="s">
        <v>634</v>
      </c>
      <c r="F374" s="98">
        <v>6.26048226E8</v>
      </c>
      <c r="G374" s="203" t="s">
        <v>888</v>
      </c>
      <c r="H374" s="216">
        <v>1160.0</v>
      </c>
      <c r="I374" s="74" t="s">
        <v>665</v>
      </c>
      <c r="J374" s="216" t="s">
        <v>141</v>
      </c>
      <c r="K374" s="216">
        <v>8.506009561E9</v>
      </c>
      <c r="L374" s="203">
        <v>2898.0</v>
      </c>
      <c r="M374" s="186"/>
      <c r="N374" s="186"/>
      <c r="O374" s="186"/>
      <c r="P374" s="186"/>
      <c r="Q374" s="203">
        <v>472.0</v>
      </c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</row>
    <row r="375">
      <c r="A375" s="272">
        <v>46058.0</v>
      </c>
      <c r="B375" s="209" t="s">
        <v>524</v>
      </c>
      <c r="C375" s="209" t="s">
        <v>758</v>
      </c>
      <c r="D375" s="209" t="s">
        <v>422</v>
      </c>
      <c r="E375" s="154" t="s">
        <v>634</v>
      </c>
      <c r="F375" s="98">
        <v>6.26048255E8</v>
      </c>
      <c r="G375" s="209" t="s">
        <v>888</v>
      </c>
      <c r="H375" s="220">
        <v>1162.0</v>
      </c>
      <c r="I375" s="74" t="s">
        <v>850</v>
      </c>
      <c r="J375" s="220" t="s">
        <v>141</v>
      </c>
      <c r="K375" s="220">
        <v>9.899561254E9</v>
      </c>
      <c r="L375" s="209">
        <v>3300.0</v>
      </c>
      <c r="M375" s="175"/>
      <c r="N375" s="175"/>
      <c r="O375" s="175"/>
      <c r="P375" s="175"/>
      <c r="Q375" s="209">
        <v>450.0</v>
      </c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  <c r="AC375" s="175"/>
      <c r="AD375" s="175"/>
      <c r="AE375" s="175"/>
      <c r="AF375" s="175"/>
      <c r="AG375" s="175"/>
      <c r="AH375" s="175"/>
      <c r="AI375" s="175"/>
      <c r="AJ375" s="175"/>
      <c r="AK375" s="175"/>
      <c r="AL375" s="175"/>
      <c r="AM375" s="175"/>
      <c r="AN375" s="175"/>
      <c r="AO375" s="175"/>
      <c r="AP375" s="175"/>
      <c r="AQ375" s="175"/>
      <c r="AR375" s="175"/>
      <c r="AS375" s="175"/>
      <c r="AT375" s="175"/>
      <c r="AU375" s="175"/>
      <c r="AV375" s="175"/>
      <c r="AW375" s="175"/>
      <c r="AX375" s="175"/>
    </row>
    <row r="376">
      <c r="A376" s="273">
        <v>46058.0</v>
      </c>
      <c r="B376" s="203" t="s">
        <v>524</v>
      </c>
      <c r="C376" s="203" t="s">
        <v>750</v>
      </c>
      <c r="D376" s="275" t="s">
        <v>966</v>
      </c>
      <c r="E376" s="185" t="s">
        <v>634</v>
      </c>
      <c r="F376" s="98">
        <v>6.26048228E8</v>
      </c>
      <c r="G376" s="203" t="s">
        <v>888</v>
      </c>
      <c r="H376" s="216">
        <v>1161.0</v>
      </c>
      <c r="I376" s="74" t="s">
        <v>967</v>
      </c>
      <c r="J376" s="216" t="s">
        <v>141</v>
      </c>
      <c r="K376" s="216">
        <v>7.530893252E9</v>
      </c>
      <c r="L376" s="203">
        <v>3000.0</v>
      </c>
      <c r="M376" s="186"/>
      <c r="N376" s="186"/>
      <c r="O376" s="186"/>
      <c r="P376" s="186"/>
      <c r="Q376" s="203">
        <v>500.0</v>
      </c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</row>
    <row r="377">
      <c r="A377" s="272">
        <v>46058.0</v>
      </c>
      <c r="B377" s="209" t="s">
        <v>524</v>
      </c>
      <c r="C377" s="209" t="s">
        <v>968</v>
      </c>
      <c r="D377" s="209" t="s">
        <v>969</v>
      </c>
      <c r="E377" s="220" t="s">
        <v>650</v>
      </c>
      <c r="F377" s="98">
        <v>6.26048242E8</v>
      </c>
      <c r="G377" s="209" t="s">
        <v>970</v>
      </c>
      <c r="H377" s="220">
        <v>6759.0</v>
      </c>
      <c r="I377" s="20" t="s">
        <v>55</v>
      </c>
      <c r="J377" s="152" t="s">
        <v>56</v>
      </c>
      <c r="K377" s="153">
        <v>9.718858411E9</v>
      </c>
      <c r="L377" s="209">
        <v>3000.0</v>
      </c>
      <c r="M377" s="175"/>
      <c r="N377" s="175"/>
      <c r="O377" s="175"/>
      <c r="P377" s="175"/>
      <c r="Q377" s="209">
        <v>250.0</v>
      </c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  <c r="AC377" s="175"/>
      <c r="AD377" s="175"/>
      <c r="AE377" s="175"/>
      <c r="AF377" s="175"/>
      <c r="AG377" s="175"/>
      <c r="AH377" s="175"/>
      <c r="AI377" s="175"/>
      <c r="AJ377" s="175"/>
      <c r="AK377" s="175"/>
      <c r="AL377" s="175"/>
      <c r="AM377" s="175"/>
      <c r="AN377" s="175"/>
      <c r="AO377" s="175"/>
      <c r="AP377" s="175"/>
      <c r="AQ377" s="175"/>
      <c r="AR377" s="175"/>
      <c r="AS377" s="175"/>
      <c r="AT377" s="175"/>
      <c r="AU377" s="175"/>
      <c r="AV377" s="175"/>
      <c r="AW377" s="175"/>
      <c r="AX377" s="175"/>
    </row>
    <row r="378">
      <c r="A378" s="273">
        <v>46058.0</v>
      </c>
      <c r="B378" s="203" t="s">
        <v>524</v>
      </c>
      <c r="C378" s="203" t="s">
        <v>968</v>
      </c>
      <c r="D378" s="203" t="s">
        <v>969</v>
      </c>
      <c r="E378" s="216" t="s">
        <v>650</v>
      </c>
      <c r="F378" s="98">
        <v>6.26048252E8</v>
      </c>
      <c r="G378" s="203"/>
      <c r="H378" s="216">
        <v>6759.0</v>
      </c>
      <c r="I378" s="20" t="s">
        <v>55</v>
      </c>
      <c r="J378" s="152" t="s">
        <v>56</v>
      </c>
      <c r="K378" s="153">
        <v>9.718858411E9</v>
      </c>
      <c r="L378" s="203">
        <v>795.0</v>
      </c>
      <c r="M378" s="186"/>
      <c r="N378" s="186"/>
      <c r="O378" s="186"/>
      <c r="P378" s="186"/>
      <c r="Q378" s="203">
        <v>88.0</v>
      </c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</row>
    <row r="379">
      <c r="A379" s="272">
        <v>46058.0</v>
      </c>
      <c r="B379" s="209" t="s">
        <v>524</v>
      </c>
      <c r="C379" s="209" t="s">
        <v>968</v>
      </c>
      <c r="D379" s="209" t="s">
        <v>969</v>
      </c>
      <c r="E379" s="220" t="s">
        <v>650</v>
      </c>
      <c r="F379" s="98">
        <v>6.2604824E8</v>
      </c>
      <c r="G379" s="209"/>
      <c r="H379" s="220">
        <v>6759.0</v>
      </c>
      <c r="I379" s="20" t="s">
        <v>55</v>
      </c>
      <c r="J379" s="152" t="s">
        <v>56</v>
      </c>
      <c r="K379" s="153">
        <v>9.718858411E9</v>
      </c>
      <c r="L379" s="209">
        <v>768.0</v>
      </c>
      <c r="M379" s="175"/>
      <c r="N379" s="175"/>
      <c r="O379" s="175"/>
      <c r="P379" s="175"/>
      <c r="Q379" s="209">
        <v>300.0</v>
      </c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  <c r="AF379" s="175"/>
      <c r="AG379" s="175"/>
      <c r="AH379" s="175"/>
      <c r="AI379" s="175"/>
      <c r="AJ379" s="175"/>
      <c r="AK379" s="175"/>
      <c r="AL379" s="175"/>
      <c r="AM379" s="175"/>
      <c r="AN379" s="175"/>
      <c r="AO379" s="175"/>
      <c r="AP379" s="175"/>
      <c r="AQ379" s="175"/>
      <c r="AR379" s="175"/>
      <c r="AS379" s="175"/>
      <c r="AT379" s="175"/>
      <c r="AU379" s="175"/>
      <c r="AV379" s="175"/>
      <c r="AW379" s="175"/>
      <c r="AX379" s="175"/>
    </row>
    <row r="380">
      <c r="A380" s="273">
        <v>46058.0</v>
      </c>
      <c r="B380" s="203" t="s">
        <v>524</v>
      </c>
      <c r="C380" s="203" t="s">
        <v>968</v>
      </c>
      <c r="D380" s="203" t="s">
        <v>969</v>
      </c>
      <c r="E380" s="216" t="s">
        <v>650</v>
      </c>
      <c r="F380" s="98">
        <v>6.26048241E8</v>
      </c>
      <c r="G380" s="203"/>
      <c r="H380" s="216">
        <v>6759.0</v>
      </c>
      <c r="I380" s="20" t="s">
        <v>55</v>
      </c>
      <c r="J380" s="152" t="s">
        <v>56</v>
      </c>
      <c r="K380" s="153">
        <v>9.718858411E9</v>
      </c>
      <c r="L380" s="203">
        <v>3000.0</v>
      </c>
      <c r="M380" s="186"/>
      <c r="N380" s="186"/>
      <c r="O380" s="186"/>
      <c r="P380" s="186"/>
      <c r="Q380" s="203">
        <v>250.0</v>
      </c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</row>
    <row r="381">
      <c r="A381" s="272">
        <v>46058.0</v>
      </c>
      <c r="B381" s="209" t="s">
        <v>524</v>
      </c>
      <c r="C381" s="209" t="s">
        <v>971</v>
      </c>
      <c r="D381" s="209" t="s">
        <v>972</v>
      </c>
      <c r="E381" s="154" t="s">
        <v>634</v>
      </c>
      <c r="F381" s="98">
        <v>6.26048237E8</v>
      </c>
      <c r="G381" s="209" t="s">
        <v>888</v>
      </c>
      <c r="H381" s="220">
        <v>1164.0</v>
      </c>
      <c r="I381" s="74" t="s">
        <v>973</v>
      </c>
      <c r="J381" s="220" t="s">
        <v>141</v>
      </c>
      <c r="K381" s="220">
        <v>8.802622617E9</v>
      </c>
      <c r="L381" s="209">
        <v>3000.0</v>
      </c>
      <c r="M381" s="175"/>
      <c r="N381" s="175"/>
      <c r="O381" s="175"/>
      <c r="P381" s="175"/>
      <c r="Q381" s="209">
        <v>500.0</v>
      </c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175"/>
      <c r="AE381" s="175"/>
      <c r="AF381" s="175"/>
      <c r="AG381" s="175"/>
      <c r="AH381" s="175"/>
      <c r="AI381" s="175"/>
      <c r="AJ381" s="175"/>
      <c r="AK381" s="175"/>
      <c r="AL381" s="175"/>
      <c r="AM381" s="175"/>
      <c r="AN381" s="175"/>
      <c r="AO381" s="175"/>
      <c r="AP381" s="175"/>
      <c r="AQ381" s="175"/>
      <c r="AR381" s="175"/>
      <c r="AS381" s="175"/>
      <c r="AT381" s="175"/>
      <c r="AU381" s="175"/>
      <c r="AV381" s="175"/>
      <c r="AW381" s="175"/>
      <c r="AX381" s="175"/>
    </row>
    <row r="382">
      <c r="A382" s="273">
        <v>46058.0</v>
      </c>
      <c r="B382" s="203" t="s">
        <v>524</v>
      </c>
      <c r="C382" s="203" t="s">
        <v>906</v>
      </c>
      <c r="D382" s="203" t="s">
        <v>907</v>
      </c>
      <c r="E382" s="185" t="s">
        <v>634</v>
      </c>
      <c r="F382" s="98">
        <v>6.26048235E8</v>
      </c>
      <c r="G382" s="203" t="s">
        <v>888</v>
      </c>
      <c r="H382" s="216">
        <v>1165.0</v>
      </c>
      <c r="I382" s="74" t="s">
        <v>905</v>
      </c>
      <c r="J382" s="185" t="s">
        <v>141</v>
      </c>
      <c r="K382" s="204">
        <v>8.423757377E9</v>
      </c>
      <c r="L382" s="203">
        <v>3000.0</v>
      </c>
      <c r="M382" s="186"/>
      <c r="N382" s="186"/>
      <c r="O382" s="186"/>
      <c r="P382" s="186"/>
      <c r="Q382" s="203">
        <v>450.0</v>
      </c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</row>
    <row r="383">
      <c r="A383" s="272">
        <v>46058.0</v>
      </c>
      <c r="B383" s="209" t="s">
        <v>524</v>
      </c>
      <c r="C383" s="209" t="s">
        <v>669</v>
      </c>
      <c r="D383" s="209" t="s">
        <v>670</v>
      </c>
      <c r="E383" s="154" t="s">
        <v>634</v>
      </c>
      <c r="F383" s="98">
        <v>6.26048224E8</v>
      </c>
      <c r="G383" s="209" t="s">
        <v>888</v>
      </c>
      <c r="H383" s="220">
        <v>1166.0</v>
      </c>
      <c r="I383" s="52" t="s">
        <v>511</v>
      </c>
      <c r="J383" s="154" t="s">
        <v>141</v>
      </c>
      <c r="K383" s="154">
        <v>8.285997574E9</v>
      </c>
      <c r="L383" s="209">
        <v>3000.0</v>
      </c>
      <c r="M383" s="175"/>
      <c r="N383" s="175"/>
      <c r="O383" s="175"/>
      <c r="P383" s="175"/>
      <c r="Q383" s="209">
        <v>500.0</v>
      </c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175"/>
      <c r="AE383" s="175"/>
      <c r="AF383" s="175"/>
      <c r="AG383" s="175"/>
      <c r="AH383" s="175"/>
      <c r="AI383" s="175"/>
      <c r="AJ383" s="175"/>
      <c r="AK383" s="175"/>
      <c r="AL383" s="175"/>
      <c r="AM383" s="175"/>
      <c r="AN383" s="175"/>
      <c r="AO383" s="175"/>
      <c r="AP383" s="175"/>
      <c r="AQ383" s="175"/>
      <c r="AR383" s="175"/>
      <c r="AS383" s="175"/>
      <c r="AT383" s="175"/>
      <c r="AU383" s="175"/>
      <c r="AV383" s="175"/>
      <c r="AW383" s="175"/>
      <c r="AX383" s="175"/>
    </row>
    <row r="384">
      <c r="A384" s="273">
        <v>46058.0</v>
      </c>
      <c r="B384" s="203" t="s">
        <v>524</v>
      </c>
      <c r="C384" s="203" t="s">
        <v>968</v>
      </c>
      <c r="D384" s="203" t="s">
        <v>969</v>
      </c>
      <c r="E384" s="216" t="s">
        <v>650</v>
      </c>
      <c r="F384" s="98">
        <v>6.26048239E8</v>
      </c>
      <c r="G384" s="203" t="s">
        <v>970</v>
      </c>
      <c r="H384" s="216">
        <v>6760.0</v>
      </c>
      <c r="I384" s="20" t="s">
        <v>69</v>
      </c>
      <c r="J384" s="185" t="s">
        <v>56</v>
      </c>
      <c r="K384" s="204">
        <v>9.582295755E9</v>
      </c>
      <c r="L384" s="203">
        <v>6000.0</v>
      </c>
      <c r="M384" s="186"/>
      <c r="N384" s="186"/>
      <c r="O384" s="186"/>
      <c r="P384" s="186"/>
      <c r="Q384" s="203">
        <v>500.0</v>
      </c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</row>
    <row r="385">
      <c r="A385" s="272">
        <v>46058.0</v>
      </c>
      <c r="B385" s="209" t="s">
        <v>524</v>
      </c>
      <c r="C385" s="209" t="s">
        <v>968</v>
      </c>
      <c r="D385" s="209" t="s">
        <v>969</v>
      </c>
      <c r="E385" s="220" t="s">
        <v>650</v>
      </c>
      <c r="F385" s="98">
        <v>6.26048243E8</v>
      </c>
      <c r="G385" s="209"/>
      <c r="H385" s="220">
        <v>6760.0</v>
      </c>
      <c r="I385" s="20" t="s">
        <v>69</v>
      </c>
      <c r="J385" s="154" t="s">
        <v>56</v>
      </c>
      <c r="K385" s="202">
        <v>9.582295755E9</v>
      </c>
      <c r="L385" s="209">
        <v>2250.0</v>
      </c>
      <c r="M385" s="175"/>
      <c r="N385" s="175"/>
      <c r="O385" s="175"/>
      <c r="P385" s="175"/>
      <c r="Q385" s="209">
        <v>375.0</v>
      </c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  <c r="AF385" s="175"/>
      <c r="AG385" s="175"/>
      <c r="AH385" s="175"/>
      <c r="AI385" s="175"/>
      <c r="AJ385" s="175"/>
      <c r="AK385" s="175"/>
      <c r="AL385" s="175"/>
      <c r="AM385" s="175"/>
      <c r="AN385" s="175"/>
      <c r="AO385" s="175"/>
      <c r="AP385" s="175"/>
      <c r="AQ385" s="175"/>
      <c r="AR385" s="175"/>
      <c r="AS385" s="175"/>
      <c r="AT385" s="175"/>
      <c r="AU385" s="175"/>
      <c r="AV385" s="175"/>
      <c r="AW385" s="175"/>
      <c r="AX385" s="175"/>
    </row>
    <row r="386">
      <c r="A386" s="273">
        <v>46058.0</v>
      </c>
      <c r="B386" s="203" t="s">
        <v>524</v>
      </c>
      <c r="C386" s="203" t="s">
        <v>968</v>
      </c>
      <c r="D386" s="203" t="s">
        <v>969</v>
      </c>
      <c r="E386" s="216" t="s">
        <v>650</v>
      </c>
      <c r="F386" s="98">
        <v>6.26048244E8</v>
      </c>
      <c r="G386" s="203"/>
      <c r="H386" s="216">
        <v>6760.0</v>
      </c>
      <c r="I386" s="20" t="s">
        <v>69</v>
      </c>
      <c r="J386" s="185" t="s">
        <v>56</v>
      </c>
      <c r="K386" s="204">
        <v>9.582295755E9</v>
      </c>
      <c r="L386" s="203">
        <v>2250.0</v>
      </c>
      <c r="M386" s="186"/>
      <c r="N386" s="186"/>
      <c r="O386" s="186"/>
      <c r="P386" s="186"/>
      <c r="Q386" s="203">
        <v>375.0</v>
      </c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</row>
    <row r="387">
      <c r="A387" s="272"/>
      <c r="B387" s="209"/>
      <c r="C387" s="209"/>
      <c r="D387" s="209"/>
      <c r="E387" s="220"/>
      <c r="F387" s="209"/>
      <c r="G387" s="209"/>
      <c r="I387" s="211"/>
      <c r="J387" s="154"/>
      <c r="K387" s="175"/>
      <c r="L387" s="209"/>
      <c r="M387" s="175"/>
      <c r="N387" s="175"/>
      <c r="O387" s="175"/>
      <c r="P387" s="175"/>
      <c r="Q387" s="209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175"/>
      <c r="AE387" s="175"/>
      <c r="AF387" s="175"/>
      <c r="AG387" s="175"/>
      <c r="AH387" s="175"/>
      <c r="AI387" s="175"/>
      <c r="AJ387" s="175"/>
      <c r="AK387" s="175"/>
      <c r="AL387" s="175"/>
      <c r="AM387" s="175"/>
      <c r="AN387" s="175"/>
      <c r="AO387" s="175"/>
      <c r="AP387" s="175"/>
      <c r="AQ387" s="175"/>
      <c r="AR387" s="175"/>
      <c r="AS387" s="175"/>
      <c r="AT387" s="175"/>
      <c r="AU387" s="175"/>
      <c r="AV387" s="175"/>
      <c r="AW387" s="175"/>
      <c r="AX387" s="175"/>
    </row>
    <row r="388">
      <c r="A388" s="273"/>
      <c r="B388" s="203"/>
      <c r="C388" s="203"/>
      <c r="D388" s="203"/>
      <c r="E388" s="216"/>
      <c r="F388" s="203"/>
      <c r="G388" s="203"/>
      <c r="I388" s="215"/>
      <c r="J388" s="185"/>
      <c r="K388" s="186"/>
      <c r="L388" s="266">
        <f>SUM(L365:L387)</f>
        <v>68511</v>
      </c>
      <c r="M388" s="186"/>
      <c r="N388" s="186"/>
      <c r="O388" s="186"/>
      <c r="P388" s="186"/>
      <c r="Q388" s="203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</row>
    <row r="389">
      <c r="A389" s="206">
        <v>46086.0</v>
      </c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6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175"/>
      <c r="AE389" s="175"/>
      <c r="AF389" s="175"/>
      <c r="AG389" s="175"/>
      <c r="AH389" s="175"/>
      <c r="AI389" s="175"/>
      <c r="AJ389" s="175"/>
      <c r="AK389" s="175"/>
      <c r="AL389" s="175"/>
      <c r="AM389" s="175"/>
      <c r="AN389" s="175"/>
      <c r="AO389" s="175"/>
      <c r="AP389" s="175"/>
      <c r="AQ389" s="175"/>
      <c r="AR389" s="175"/>
      <c r="AS389" s="175"/>
      <c r="AT389" s="175"/>
      <c r="AU389" s="175"/>
      <c r="AV389" s="175"/>
      <c r="AW389" s="175"/>
      <c r="AX389" s="175"/>
      <c r="AY389" s="2"/>
      <c r="AZ389" s="2"/>
      <c r="BA389" s="2"/>
      <c r="BB389" s="2"/>
      <c r="BC389" s="2"/>
      <c r="BD389" s="2"/>
    </row>
    <row r="390" ht="42.0" customHeight="1">
      <c r="A390" s="195" t="s">
        <v>0</v>
      </c>
      <c r="B390" s="195" t="s">
        <v>1</v>
      </c>
      <c r="C390" s="196" t="s">
        <v>2</v>
      </c>
      <c r="D390" s="196" t="s">
        <v>3</v>
      </c>
      <c r="E390" s="196" t="s">
        <v>4</v>
      </c>
      <c r="F390" s="196" t="s">
        <v>642</v>
      </c>
      <c r="G390" s="196" t="s">
        <v>643</v>
      </c>
      <c r="H390" s="196" t="s">
        <v>7</v>
      </c>
      <c r="I390" s="196" t="s">
        <v>8</v>
      </c>
      <c r="J390" s="196" t="s">
        <v>9</v>
      </c>
      <c r="K390" s="197" t="s">
        <v>10</v>
      </c>
      <c r="L390" s="197" t="s">
        <v>644</v>
      </c>
      <c r="M390" s="198" t="s">
        <v>645</v>
      </c>
      <c r="N390" s="196" t="s">
        <v>13</v>
      </c>
      <c r="O390" s="199" t="s">
        <v>14</v>
      </c>
      <c r="P390" s="200" t="s">
        <v>646</v>
      </c>
      <c r="Q390" s="197" t="s">
        <v>647</v>
      </c>
      <c r="R390" s="196" t="s">
        <v>16</v>
      </c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  <c r="AQ390" s="201"/>
      <c r="AR390" s="201"/>
      <c r="AS390" s="201"/>
      <c r="AT390" s="201"/>
      <c r="AU390" s="201"/>
      <c r="AV390" s="201"/>
      <c r="AW390" s="201"/>
      <c r="AX390" s="201"/>
      <c r="AY390" s="201"/>
      <c r="AZ390" s="201"/>
      <c r="BA390" s="201"/>
      <c r="BB390" s="201"/>
      <c r="BC390" s="201"/>
      <c r="BD390" s="201"/>
    </row>
    <row r="391">
      <c r="A391" s="272">
        <v>46086.0</v>
      </c>
      <c r="B391" s="208">
        <v>46058.0</v>
      </c>
      <c r="C391" s="209" t="s">
        <v>974</v>
      </c>
      <c r="D391" s="209" t="s">
        <v>975</v>
      </c>
      <c r="E391" s="154" t="s">
        <v>634</v>
      </c>
      <c r="F391" s="98">
        <v>6.26057956E8</v>
      </c>
      <c r="G391" s="209" t="s">
        <v>888</v>
      </c>
      <c r="H391" s="220">
        <v>6764.0</v>
      </c>
      <c r="I391" s="50" t="s">
        <v>124</v>
      </c>
      <c r="J391" s="154" t="s">
        <v>56</v>
      </c>
      <c r="K391" s="202">
        <v>7.290982776E9</v>
      </c>
      <c r="L391" s="219">
        <v>3000.0</v>
      </c>
      <c r="M391" s="211"/>
      <c r="N391" s="175"/>
      <c r="O391" s="175"/>
      <c r="P391" s="175"/>
      <c r="Q391" s="209">
        <v>500.0</v>
      </c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  <c r="AC391" s="175"/>
      <c r="AD391" s="175"/>
      <c r="AE391" s="175"/>
      <c r="AF391" s="175"/>
      <c r="AG391" s="175"/>
      <c r="AH391" s="175"/>
      <c r="AI391" s="175"/>
      <c r="AJ391" s="175"/>
      <c r="AK391" s="175"/>
      <c r="AL391" s="175"/>
      <c r="AM391" s="175"/>
      <c r="AN391" s="175"/>
      <c r="AO391" s="175"/>
      <c r="AP391" s="175"/>
      <c r="AQ391" s="175"/>
      <c r="AR391" s="175"/>
      <c r="AS391" s="175"/>
      <c r="AT391" s="175"/>
      <c r="AU391" s="175"/>
      <c r="AV391" s="175"/>
      <c r="AW391" s="175"/>
      <c r="AX391" s="175"/>
      <c r="AY391" s="7"/>
      <c r="AZ391" s="7"/>
      <c r="BA391" s="7"/>
      <c r="BB391" s="7"/>
      <c r="BC391" s="7"/>
      <c r="BD391" s="7"/>
    </row>
    <row r="392">
      <c r="A392" s="273">
        <v>46086.0</v>
      </c>
      <c r="B392" s="213">
        <v>46058.0</v>
      </c>
      <c r="C392" s="203" t="s">
        <v>976</v>
      </c>
      <c r="D392" s="203" t="s">
        <v>977</v>
      </c>
      <c r="E392" s="185" t="s">
        <v>634</v>
      </c>
      <c r="F392" s="98">
        <v>6.26057958E8</v>
      </c>
      <c r="G392" s="203" t="s">
        <v>888</v>
      </c>
      <c r="H392" s="216">
        <v>1168.0</v>
      </c>
      <c r="I392" s="74" t="s">
        <v>973</v>
      </c>
      <c r="J392" s="216" t="s">
        <v>141</v>
      </c>
      <c r="K392" s="216">
        <v>8.802622617E9</v>
      </c>
      <c r="L392" s="223">
        <v>3000.0</v>
      </c>
      <c r="M392" s="215"/>
      <c r="N392" s="186"/>
      <c r="O392" s="186"/>
      <c r="P392" s="186"/>
      <c r="Q392" s="203">
        <v>500.0</v>
      </c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7"/>
      <c r="AZ392" s="7"/>
      <c r="BA392" s="7"/>
      <c r="BB392" s="7"/>
      <c r="BC392" s="7"/>
      <c r="BD392" s="7"/>
    </row>
    <row r="393">
      <c r="A393" s="272">
        <v>46086.0</v>
      </c>
      <c r="B393" s="208">
        <v>46058.0</v>
      </c>
      <c r="C393" s="209" t="s">
        <v>797</v>
      </c>
      <c r="D393" s="209" t="s">
        <v>798</v>
      </c>
      <c r="E393" s="154" t="s">
        <v>634</v>
      </c>
      <c r="F393" s="98">
        <v>6.26057952E8</v>
      </c>
      <c r="G393" s="209" t="s">
        <v>961</v>
      </c>
      <c r="H393" s="220">
        <v>6763.0</v>
      </c>
      <c r="I393" s="20" t="s">
        <v>127</v>
      </c>
      <c r="J393" s="154" t="s">
        <v>56</v>
      </c>
      <c r="K393" s="154">
        <v>8.826871385E9</v>
      </c>
      <c r="L393" s="219">
        <v>6000.0</v>
      </c>
      <c r="N393" s="175"/>
      <c r="O393" s="175"/>
      <c r="P393" s="175"/>
      <c r="Q393" s="209">
        <v>1000.0</v>
      </c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  <c r="AC393" s="175"/>
      <c r="AD393" s="175"/>
      <c r="AE393" s="175"/>
      <c r="AF393" s="175"/>
      <c r="AG393" s="175"/>
      <c r="AH393" s="175"/>
      <c r="AI393" s="175"/>
      <c r="AJ393" s="175"/>
      <c r="AK393" s="175"/>
      <c r="AL393" s="175"/>
      <c r="AM393" s="175"/>
      <c r="AN393" s="175"/>
      <c r="AO393" s="175"/>
      <c r="AP393" s="175"/>
      <c r="AQ393" s="175"/>
      <c r="AR393" s="175"/>
      <c r="AS393" s="175"/>
      <c r="AT393" s="175"/>
      <c r="AU393" s="175"/>
      <c r="AV393" s="175"/>
      <c r="AW393" s="175"/>
      <c r="AX393" s="175"/>
    </row>
    <row r="394">
      <c r="A394" s="273">
        <v>46086.0</v>
      </c>
      <c r="B394" s="213">
        <v>46058.0</v>
      </c>
      <c r="C394" s="203" t="s">
        <v>978</v>
      </c>
      <c r="D394" s="216" t="s">
        <v>979</v>
      </c>
      <c r="E394" s="185" t="s">
        <v>634</v>
      </c>
      <c r="F394" s="98">
        <v>6.26057957E8</v>
      </c>
      <c r="G394" s="203" t="s">
        <v>888</v>
      </c>
      <c r="H394" s="216">
        <v>1169.0</v>
      </c>
      <c r="I394" s="74" t="s">
        <v>931</v>
      </c>
      <c r="J394" s="204" t="s">
        <v>141</v>
      </c>
      <c r="K394" s="204">
        <v>8.882065568E9</v>
      </c>
      <c r="L394" s="223">
        <v>3000.0</v>
      </c>
      <c r="M394" s="215"/>
      <c r="N394" s="186"/>
      <c r="O394" s="186"/>
      <c r="P394" s="186"/>
      <c r="Q394" s="203">
        <v>500.0</v>
      </c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7"/>
      <c r="AZ394" s="7"/>
      <c r="BA394" s="7"/>
      <c r="BB394" s="7"/>
      <c r="BC394" s="7"/>
      <c r="BD394" s="7"/>
    </row>
    <row r="395">
      <c r="A395" s="272">
        <v>46086.0</v>
      </c>
      <c r="B395" s="209" t="s">
        <v>524</v>
      </c>
      <c r="C395" s="209" t="s">
        <v>758</v>
      </c>
      <c r="D395" s="209" t="s">
        <v>422</v>
      </c>
      <c r="E395" s="154" t="s">
        <v>634</v>
      </c>
      <c r="F395" s="98">
        <v>6.2604823E8</v>
      </c>
      <c r="G395" s="209" t="s">
        <v>888</v>
      </c>
      <c r="H395" s="220">
        <v>3148.0</v>
      </c>
      <c r="I395" s="20" t="s">
        <v>372</v>
      </c>
      <c r="J395" s="154" t="s">
        <v>373</v>
      </c>
      <c r="K395" s="154">
        <v>8.684015172E9</v>
      </c>
      <c r="L395" s="209">
        <v>2700.0</v>
      </c>
      <c r="M395" s="175"/>
      <c r="N395" s="175"/>
      <c r="O395" s="175"/>
      <c r="P395" s="175"/>
      <c r="Q395" s="209">
        <v>300.0</v>
      </c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  <c r="AC395" s="175"/>
      <c r="AD395" s="175"/>
      <c r="AE395" s="175"/>
      <c r="AF395" s="175"/>
      <c r="AG395" s="175"/>
      <c r="AH395" s="175"/>
      <c r="AI395" s="175"/>
      <c r="AJ395" s="175"/>
      <c r="AK395" s="175"/>
      <c r="AL395" s="175"/>
      <c r="AM395" s="175"/>
      <c r="AN395" s="175"/>
      <c r="AO395" s="175"/>
      <c r="AP395" s="175"/>
      <c r="AQ395" s="175"/>
      <c r="AR395" s="175"/>
      <c r="AS395" s="175"/>
      <c r="AT395" s="175"/>
      <c r="AU395" s="175"/>
      <c r="AV395" s="175"/>
      <c r="AW395" s="175"/>
      <c r="AX395" s="175"/>
    </row>
    <row r="396">
      <c r="A396" s="273">
        <v>46086.0</v>
      </c>
      <c r="B396" s="213">
        <v>46058.0</v>
      </c>
      <c r="C396" s="203" t="s">
        <v>797</v>
      </c>
      <c r="D396" s="203" t="s">
        <v>798</v>
      </c>
      <c r="E396" s="185" t="s">
        <v>634</v>
      </c>
      <c r="F396" s="98">
        <v>6.26057953E8</v>
      </c>
      <c r="G396" s="216" t="s">
        <v>980</v>
      </c>
      <c r="H396" s="216">
        <v>6765.0</v>
      </c>
      <c r="I396" s="20" t="s">
        <v>148</v>
      </c>
      <c r="J396" s="185" t="s">
        <v>56</v>
      </c>
      <c r="K396" s="185">
        <v>8.799720529E9</v>
      </c>
      <c r="L396" s="223">
        <v>9000.0</v>
      </c>
      <c r="N396" s="186"/>
      <c r="O396" s="186"/>
      <c r="P396" s="186"/>
      <c r="Q396" s="203">
        <v>1500.0</v>
      </c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</row>
    <row r="397">
      <c r="A397" s="272">
        <v>46086.0</v>
      </c>
      <c r="B397" s="208">
        <v>46058.0</v>
      </c>
      <c r="C397" s="209" t="s">
        <v>981</v>
      </c>
      <c r="D397" s="209" t="s">
        <v>982</v>
      </c>
      <c r="E397" s="154" t="s">
        <v>634</v>
      </c>
      <c r="F397" s="98">
        <v>6.26057959E8</v>
      </c>
      <c r="G397" s="209" t="s">
        <v>888</v>
      </c>
      <c r="H397" s="220">
        <v>1170.0</v>
      </c>
      <c r="I397" s="47" t="s">
        <v>846</v>
      </c>
      <c r="J397" s="154" t="s">
        <v>141</v>
      </c>
      <c r="K397" s="202">
        <v>8.506009561E9</v>
      </c>
      <c r="L397" s="219">
        <v>3000.0</v>
      </c>
      <c r="M397" s="211"/>
      <c r="N397" s="175"/>
      <c r="O397" s="175"/>
      <c r="P397" s="175"/>
      <c r="Q397" s="209">
        <v>500.0</v>
      </c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  <c r="AC397" s="175"/>
      <c r="AD397" s="175"/>
      <c r="AE397" s="175"/>
      <c r="AF397" s="175"/>
      <c r="AG397" s="175"/>
      <c r="AH397" s="175"/>
      <c r="AI397" s="175"/>
      <c r="AJ397" s="175"/>
      <c r="AK397" s="175"/>
      <c r="AL397" s="175"/>
      <c r="AM397" s="175"/>
      <c r="AN397" s="175"/>
      <c r="AO397" s="175"/>
      <c r="AP397" s="175"/>
      <c r="AQ397" s="175"/>
      <c r="AR397" s="175"/>
      <c r="AS397" s="175"/>
      <c r="AT397" s="175"/>
      <c r="AU397" s="175"/>
      <c r="AV397" s="175"/>
      <c r="AW397" s="175"/>
      <c r="AX397" s="175"/>
      <c r="AY397" s="7"/>
      <c r="AZ397" s="7"/>
      <c r="BA397" s="7"/>
      <c r="BB397" s="7"/>
      <c r="BC397" s="7"/>
      <c r="BD397" s="7"/>
    </row>
    <row r="398">
      <c r="A398" s="273">
        <v>46086.0</v>
      </c>
      <c r="B398" s="203" t="s">
        <v>524</v>
      </c>
      <c r="C398" s="203" t="s">
        <v>983</v>
      </c>
      <c r="D398" s="203" t="s">
        <v>984</v>
      </c>
      <c r="E398" s="185" t="s">
        <v>634</v>
      </c>
      <c r="F398" s="98">
        <v>6.26048221E8</v>
      </c>
      <c r="G398" s="203" t="s">
        <v>888</v>
      </c>
      <c r="H398" s="216">
        <v>6761.0</v>
      </c>
      <c r="I398" s="50" t="s">
        <v>360</v>
      </c>
      <c r="J398" s="185" t="s">
        <v>56</v>
      </c>
      <c r="K398" s="204">
        <v>7.355962044E9</v>
      </c>
      <c r="L398" s="203">
        <v>1620.0</v>
      </c>
      <c r="M398" s="186"/>
      <c r="N398" s="186"/>
      <c r="O398" s="186"/>
      <c r="P398" s="186"/>
      <c r="Q398" s="203">
        <v>250.0</v>
      </c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</row>
    <row r="399">
      <c r="A399" s="272">
        <v>46086.0</v>
      </c>
      <c r="B399" s="209" t="s">
        <v>524</v>
      </c>
      <c r="C399" s="209" t="s">
        <v>985</v>
      </c>
      <c r="D399" s="209" t="s">
        <v>986</v>
      </c>
      <c r="E399" s="154" t="s">
        <v>634</v>
      </c>
      <c r="F399" s="98">
        <v>6.26048215E8</v>
      </c>
      <c r="G399" s="209" t="s">
        <v>888</v>
      </c>
      <c r="H399" s="220">
        <v>6762.0</v>
      </c>
      <c r="I399" s="50" t="s">
        <v>360</v>
      </c>
      <c r="J399" s="154" t="s">
        <v>56</v>
      </c>
      <c r="K399" s="202">
        <v>7.355962044E9</v>
      </c>
      <c r="L399" s="209">
        <v>1818.0</v>
      </c>
      <c r="M399" s="175"/>
      <c r="N399" s="175"/>
      <c r="O399" s="175"/>
      <c r="P399" s="175"/>
      <c r="Q399" s="209">
        <v>302.0</v>
      </c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5"/>
      <c r="AI399" s="175"/>
      <c r="AJ399" s="175"/>
      <c r="AK399" s="175"/>
      <c r="AL399" s="175"/>
      <c r="AM399" s="175"/>
      <c r="AN399" s="175"/>
      <c r="AO399" s="175"/>
      <c r="AP399" s="175"/>
      <c r="AQ399" s="175"/>
      <c r="AR399" s="175"/>
      <c r="AS399" s="175"/>
      <c r="AT399" s="175"/>
      <c r="AU399" s="175"/>
      <c r="AV399" s="175"/>
      <c r="AW399" s="175"/>
      <c r="AX399" s="175"/>
    </row>
    <row r="400">
      <c r="A400" s="273">
        <v>46086.0</v>
      </c>
      <c r="B400" s="203" t="s">
        <v>524</v>
      </c>
      <c r="C400" s="203" t="s">
        <v>758</v>
      </c>
      <c r="D400" s="203" t="s">
        <v>422</v>
      </c>
      <c r="E400" s="185" t="s">
        <v>634</v>
      </c>
      <c r="F400" s="98">
        <v>6.26048231E8</v>
      </c>
      <c r="G400" s="203" t="s">
        <v>888</v>
      </c>
      <c r="H400" s="216">
        <v>1172.0</v>
      </c>
      <c r="I400" s="74" t="s">
        <v>905</v>
      </c>
      <c r="J400" s="185" t="s">
        <v>141</v>
      </c>
      <c r="K400" s="204">
        <v>8.423757377E9</v>
      </c>
      <c r="L400" s="203">
        <v>3000.0</v>
      </c>
      <c r="M400" s="190">
        <v>1.0</v>
      </c>
      <c r="N400" s="186"/>
      <c r="O400" s="186"/>
      <c r="P400" s="186"/>
      <c r="Q400" s="203">
        <v>350.0</v>
      </c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</row>
    <row r="401">
      <c r="A401" s="272">
        <v>46086.0</v>
      </c>
      <c r="B401" s="209" t="s">
        <v>524</v>
      </c>
      <c r="C401" s="209" t="s">
        <v>987</v>
      </c>
      <c r="D401" s="276" t="s">
        <v>988</v>
      </c>
      <c r="E401" s="154" t="s">
        <v>634</v>
      </c>
      <c r="F401" s="98">
        <v>6.26048229E8</v>
      </c>
      <c r="G401" s="209" t="s">
        <v>888</v>
      </c>
      <c r="H401" s="220">
        <v>1173.0</v>
      </c>
      <c r="I401" s="74" t="s">
        <v>850</v>
      </c>
      <c r="J401" s="220" t="s">
        <v>141</v>
      </c>
      <c r="K401" s="220">
        <v>9.899561254E9</v>
      </c>
      <c r="L401" s="209">
        <v>3000.0</v>
      </c>
      <c r="M401" s="267">
        <v>1.0</v>
      </c>
      <c r="N401" s="175"/>
      <c r="O401" s="175"/>
      <c r="P401" s="175"/>
      <c r="Q401" s="209">
        <v>490.0</v>
      </c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  <c r="AI401" s="175"/>
      <c r="AJ401" s="175"/>
      <c r="AK401" s="175"/>
      <c r="AL401" s="175"/>
      <c r="AM401" s="175"/>
      <c r="AN401" s="175"/>
      <c r="AO401" s="175"/>
      <c r="AP401" s="175"/>
      <c r="AQ401" s="175"/>
      <c r="AR401" s="175"/>
      <c r="AS401" s="175"/>
      <c r="AT401" s="175"/>
      <c r="AU401" s="175"/>
      <c r="AV401" s="175"/>
      <c r="AW401" s="175"/>
      <c r="AX401" s="175"/>
    </row>
    <row r="402">
      <c r="A402" s="273">
        <v>46086.0</v>
      </c>
      <c r="B402" s="203" t="s">
        <v>524</v>
      </c>
      <c r="C402" s="203" t="s">
        <v>758</v>
      </c>
      <c r="D402" s="203" t="s">
        <v>422</v>
      </c>
      <c r="E402" s="185" t="s">
        <v>634</v>
      </c>
      <c r="F402" s="98">
        <v>6.26048232E8</v>
      </c>
      <c r="G402" s="203" t="s">
        <v>888</v>
      </c>
      <c r="H402" s="216">
        <v>1174.0</v>
      </c>
      <c r="I402" s="74" t="s">
        <v>931</v>
      </c>
      <c r="J402" s="204" t="s">
        <v>141</v>
      </c>
      <c r="K402" s="204">
        <v>8.882065568E9</v>
      </c>
      <c r="L402" s="203">
        <v>3000.0</v>
      </c>
      <c r="M402" s="190"/>
      <c r="N402" s="186"/>
      <c r="O402" s="186"/>
      <c r="P402" s="186"/>
      <c r="Q402" s="203">
        <v>250.0</v>
      </c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</row>
    <row r="403">
      <c r="A403" s="272">
        <v>46086.0</v>
      </c>
      <c r="B403" s="209" t="s">
        <v>524</v>
      </c>
      <c r="C403" s="209" t="s">
        <v>758</v>
      </c>
      <c r="D403" s="220" t="s">
        <v>914</v>
      </c>
      <c r="E403" s="154" t="s">
        <v>634</v>
      </c>
      <c r="F403" s="98">
        <v>6.26048247E8</v>
      </c>
      <c r="G403" s="220" t="s">
        <v>989</v>
      </c>
      <c r="H403" s="220">
        <v>6766.0</v>
      </c>
      <c r="I403" s="20" t="s">
        <v>69</v>
      </c>
      <c r="J403" s="154" t="s">
        <v>56</v>
      </c>
      <c r="K403" s="202">
        <v>9.582295755E9</v>
      </c>
      <c r="L403" s="209">
        <v>5000.0</v>
      </c>
      <c r="M403" s="175"/>
      <c r="N403" s="175"/>
      <c r="O403" s="175"/>
      <c r="P403" s="175"/>
      <c r="Q403" s="209">
        <v>416.0</v>
      </c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75"/>
      <c r="AI403" s="175"/>
      <c r="AJ403" s="175"/>
      <c r="AK403" s="175"/>
      <c r="AL403" s="175"/>
      <c r="AM403" s="175"/>
      <c r="AN403" s="175"/>
      <c r="AO403" s="175"/>
      <c r="AP403" s="175"/>
      <c r="AQ403" s="175"/>
      <c r="AR403" s="175"/>
      <c r="AS403" s="175"/>
      <c r="AT403" s="175"/>
      <c r="AU403" s="175"/>
      <c r="AV403" s="175"/>
      <c r="AW403" s="175"/>
      <c r="AX403" s="175"/>
    </row>
    <row r="404">
      <c r="A404" s="273">
        <v>46086.0</v>
      </c>
      <c r="B404" s="203" t="s">
        <v>524</v>
      </c>
      <c r="C404" s="203" t="s">
        <v>758</v>
      </c>
      <c r="D404" s="216" t="s">
        <v>914</v>
      </c>
      <c r="E404" s="185" t="s">
        <v>634</v>
      </c>
      <c r="F404" s="98">
        <v>6.26048248E8</v>
      </c>
      <c r="G404" s="216" t="s">
        <v>989</v>
      </c>
      <c r="H404" s="216">
        <v>6766.0</v>
      </c>
      <c r="I404" s="20" t="s">
        <v>69</v>
      </c>
      <c r="J404" s="185" t="s">
        <v>56</v>
      </c>
      <c r="K404" s="204">
        <v>9.582295755E9</v>
      </c>
      <c r="L404" s="203">
        <v>5000.0</v>
      </c>
      <c r="M404" s="186"/>
      <c r="N404" s="186"/>
      <c r="O404" s="186"/>
      <c r="P404" s="186"/>
      <c r="Q404" s="203">
        <v>416.0</v>
      </c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</row>
    <row r="405">
      <c r="A405" s="272">
        <v>46086.0</v>
      </c>
      <c r="B405" s="209" t="s">
        <v>524</v>
      </c>
      <c r="C405" s="209" t="s">
        <v>758</v>
      </c>
      <c r="D405" s="220" t="s">
        <v>914</v>
      </c>
      <c r="E405" s="154" t="s">
        <v>634</v>
      </c>
      <c r="F405" s="98">
        <v>6.26048251E8</v>
      </c>
      <c r="G405" s="220" t="s">
        <v>989</v>
      </c>
      <c r="H405" s="220">
        <v>6766.0</v>
      </c>
      <c r="I405" s="20" t="s">
        <v>69</v>
      </c>
      <c r="J405" s="154" t="s">
        <v>56</v>
      </c>
      <c r="K405" s="202">
        <v>9.582295755E9</v>
      </c>
      <c r="L405" s="209">
        <v>4000.0</v>
      </c>
      <c r="M405" s="175"/>
      <c r="N405" s="175"/>
      <c r="O405" s="175"/>
      <c r="P405" s="175"/>
      <c r="Q405" s="209">
        <v>333.0</v>
      </c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75"/>
      <c r="AG405" s="175"/>
      <c r="AH405" s="175"/>
      <c r="AI405" s="175"/>
      <c r="AJ405" s="175"/>
      <c r="AK405" s="175"/>
      <c r="AL405" s="175"/>
      <c r="AM405" s="175"/>
      <c r="AN405" s="175"/>
      <c r="AO405" s="175"/>
      <c r="AP405" s="175"/>
      <c r="AQ405" s="175"/>
      <c r="AR405" s="175"/>
      <c r="AS405" s="175"/>
      <c r="AT405" s="175"/>
      <c r="AU405" s="175"/>
      <c r="AV405" s="175"/>
      <c r="AW405" s="175"/>
      <c r="AX405" s="175"/>
    </row>
    <row r="406">
      <c r="A406" s="273">
        <v>46086.0</v>
      </c>
      <c r="B406" s="87" t="s">
        <v>524</v>
      </c>
      <c r="C406" s="87" t="s">
        <v>839</v>
      </c>
      <c r="D406" s="87" t="s">
        <v>990</v>
      </c>
      <c r="E406" s="88" t="s">
        <v>634</v>
      </c>
      <c r="F406" s="98">
        <v>6.26048218E8</v>
      </c>
      <c r="G406" s="87" t="s">
        <v>888</v>
      </c>
      <c r="H406" s="85">
        <v>1175.0</v>
      </c>
      <c r="I406" s="74" t="s">
        <v>908</v>
      </c>
      <c r="J406" s="88" t="s">
        <v>141</v>
      </c>
      <c r="K406" s="131">
        <v>9.319618305E9</v>
      </c>
      <c r="L406" s="87">
        <v>3000.0</v>
      </c>
      <c r="M406" s="134"/>
      <c r="N406" s="134"/>
      <c r="O406" s="134"/>
      <c r="P406" s="134"/>
      <c r="Q406" s="87">
        <v>250.0</v>
      </c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  <c r="AO406" s="134"/>
      <c r="AP406" s="134"/>
      <c r="AQ406" s="134"/>
      <c r="AR406" s="134"/>
      <c r="AS406" s="134"/>
      <c r="AT406" s="134"/>
      <c r="AU406" s="134"/>
      <c r="AV406" s="134"/>
      <c r="AW406" s="134"/>
      <c r="AX406" s="134"/>
      <c r="AY406" s="146"/>
      <c r="AZ406" s="146"/>
      <c r="BA406" s="146"/>
      <c r="BB406" s="146"/>
      <c r="BC406" s="146"/>
      <c r="BD406" s="146"/>
    </row>
    <row r="407">
      <c r="A407" s="272">
        <v>46086.0</v>
      </c>
      <c r="B407" s="209" t="s">
        <v>524</v>
      </c>
      <c r="C407" s="209" t="s">
        <v>853</v>
      </c>
      <c r="D407" s="276" t="s">
        <v>924</v>
      </c>
      <c r="E407" s="154" t="s">
        <v>634</v>
      </c>
      <c r="F407" s="98">
        <v>6.26048246E8</v>
      </c>
      <c r="G407" s="209" t="s">
        <v>888</v>
      </c>
      <c r="H407" s="220">
        <v>1176.0</v>
      </c>
      <c r="I407" s="74" t="s">
        <v>973</v>
      </c>
      <c r="J407" s="220" t="s">
        <v>141</v>
      </c>
      <c r="K407" s="220">
        <v>8.802622617E9</v>
      </c>
      <c r="L407" s="209">
        <v>3000.0</v>
      </c>
      <c r="M407" s="175"/>
      <c r="N407" s="175"/>
      <c r="O407" s="175"/>
      <c r="P407" s="175"/>
      <c r="Q407" s="209">
        <v>250.0</v>
      </c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75"/>
      <c r="AI407" s="175"/>
      <c r="AJ407" s="175"/>
      <c r="AK407" s="175"/>
      <c r="AL407" s="175"/>
      <c r="AM407" s="175"/>
      <c r="AN407" s="175"/>
      <c r="AO407" s="175"/>
      <c r="AP407" s="175"/>
      <c r="AQ407" s="175"/>
      <c r="AR407" s="175"/>
      <c r="AS407" s="175"/>
      <c r="AT407" s="175"/>
      <c r="AU407" s="175"/>
      <c r="AV407" s="175"/>
      <c r="AW407" s="175"/>
      <c r="AX407" s="175"/>
    </row>
    <row r="408">
      <c r="A408" s="273"/>
      <c r="B408" s="203"/>
      <c r="C408" s="203"/>
      <c r="D408" s="203"/>
      <c r="E408" s="185"/>
      <c r="F408" s="203"/>
      <c r="G408" s="203"/>
      <c r="L408" s="203"/>
      <c r="M408" s="186"/>
      <c r="N408" s="186"/>
      <c r="O408" s="186"/>
      <c r="P408" s="186"/>
      <c r="Q408" s="203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</row>
    <row r="409">
      <c r="A409" s="272"/>
      <c r="B409" s="209"/>
      <c r="C409" s="209"/>
      <c r="D409" s="209"/>
      <c r="E409" s="154"/>
      <c r="F409" s="209"/>
      <c r="G409" s="209"/>
      <c r="L409" s="237">
        <f>SUM(L391:L408)</f>
        <v>62138</v>
      </c>
      <c r="M409" s="175"/>
      <c r="N409" s="175"/>
      <c r="O409" s="175"/>
      <c r="P409" s="175"/>
      <c r="Q409" s="209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  <c r="AC409" s="175"/>
      <c r="AD409" s="175"/>
      <c r="AE409" s="175"/>
      <c r="AF409" s="175"/>
      <c r="AG409" s="175"/>
      <c r="AH409" s="175"/>
      <c r="AI409" s="175"/>
      <c r="AJ409" s="175"/>
      <c r="AK409" s="175"/>
      <c r="AL409" s="175"/>
      <c r="AM409" s="175"/>
      <c r="AN409" s="175"/>
      <c r="AO409" s="175"/>
      <c r="AP409" s="175"/>
      <c r="AQ409" s="175"/>
      <c r="AR409" s="175"/>
      <c r="AS409" s="175"/>
      <c r="AT409" s="175"/>
      <c r="AU409" s="175"/>
      <c r="AV409" s="175"/>
      <c r="AW409" s="175"/>
      <c r="AX409" s="175"/>
    </row>
    <row r="410">
      <c r="A410" s="273"/>
      <c r="B410" s="203"/>
      <c r="C410" s="203"/>
      <c r="D410" s="203"/>
      <c r="E410" s="185"/>
      <c r="F410" s="203"/>
      <c r="G410" s="203"/>
      <c r="L410" s="271"/>
      <c r="M410" s="186"/>
      <c r="N410" s="186"/>
      <c r="O410" s="186"/>
      <c r="P410" s="186"/>
      <c r="Q410" s="203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</row>
    <row r="411">
      <c r="A411" s="206">
        <v>46117.0</v>
      </c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6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5"/>
      <c r="AI411" s="175"/>
      <c r="AJ411" s="175"/>
      <c r="AK411" s="175"/>
      <c r="AL411" s="175"/>
      <c r="AM411" s="175"/>
      <c r="AN411" s="175"/>
      <c r="AO411" s="175"/>
      <c r="AP411" s="175"/>
      <c r="AQ411" s="175"/>
      <c r="AR411" s="175"/>
      <c r="AS411" s="175"/>
      <c r="AT411" s="175"/>
      <c r="AU411" s="175"/>
      <c r="AV411" s="175"/>
      <c r="AW411" s="175"/>
      <c r="AX411" s="175"/>
      <c r="AY411" s="2"/>
      <c r="AZ411" s="2"/>
      <c r="BA411" s="2"/>
      <c r="BB411" s="2"/>
      <c r="BC411" s="2"/>
      <c r="BD411" s="2"/>
    </row>
    <row r="412" ht="42.0" customHeight="1">
      <c r="A412" s="195" t="s">
        <v>0</v>
      </c>
      <c r="B412" s="195" t="s">
        <v>1</v>
      </c>
      <c r="C412" s="196" t="s">
        <v>2</v>
      </c>
      <c r="D412" s="196" t="s">
        <v>3</v>
      </c>
      <c r="E412" s="196" t="s">
        <v>4</v>
      </c>
      <c r="F412" s="196" t="s">
        <v>642</v>
      </c>
      <c r="G412" s="196" t="s">
        <v>643</v>
      </c>
      <c r="H412" s="196" t="s">
        <v>7</v>
      </c>
      <c r="I412" s="196" t="s">
        <v>8</v>
      </c>
      <c r="J412" s="196" t="s">
        <v>9</v>
      </c>
      <c r="K412" s="197" t="s">
        <v>10</v>
      </c>
      <c r="L412" s="197" t="s">
        <v>644</v>
      </c>
      <c r="M412" s="198" t="s">
        <v>645</v>
      </c>
      <c r="N412" s="196" t="s">
        <v>13</v>
      </c>
      <c r="O412" s="199" t="s">
        <v>14</v>
      </c>
      <c r="P412" s="200" t="s">
        <v>646</v>
      </c>
      <c r="Q412" s="197" t="s">
        <v>647</v>
      </c>
      <c r="R412" s="196" t="s">
        <v>16</v>
      </c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  <c r="BC412" s="201"/>
      <c r="BD412" s="201"/>
    </row>
    <row r="413">
      <c r="A413" s="272">
        <v>46117.0</v>
      </c>
      <c r="B413" s="209" t="s">
        <v>524</v>
      </c>
      <c r="C413" s="209" t="s">
        <v>801</v>
      </c>
      <c r="D413" s="220" t="s">
        <v>841</v>
      </c>
      <c r="E413" s="154" t="s">
        <v>634</v>
      </c>
      <c r="F413" s="209">
        <v>6.26048227E8</v>
      </c>
      <c r="G413" s="209" t="s">
        <v>888</v>
      </c>
      <c r="H413" s="220">
        <v>1177.0</v>
      </c>
      <c r="I413" s="52" t="s">
        <v>511</v>
      </c>
      <c r="J413" s="154" t="s">
        <v>141</v>
      </c>
      <c r="K413" s="154">
        <v>8.285997574E9</v>
      </c>
      <c r="L413" s="219">
        <v>3000.0</v>
      </c>
      <c r="M413" s="175"/>
      <c r="N413" s="175"/>
      <c r="O413" s="175"/>
      <c r="P413" s="175"/>
      <c r="Q413" s="209">
        <v>250.0</v>
      </c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75"/>
      <c r="AG413" s="175"/>
      <c r="AH413" s="175"/>
      <c r="AI413" s="175"/>
      <c r="AJ413" s="175"/>
      <c r="AK413" s="175"/>
      <c r="AL413" s="175"/>
      <c r="AM413" s="175"/>
      <c r="AN413" s="175"/>
      <c r="AO413" s="175"/>
      <c r="AP413" s="175"/>
      <c r="AQ413" s="175"/>
      <c r="AR413" s="175"/>
      <c r="AS413" s="175"/>
      <c r="AT413" s="175"/>
      <c r="AU413" s="175"/>
      <c r="AV413" s="175"/>
      <c r="AW413" s="175"/>
      <c r="AX413" s="175"/>
    </row>
    <row r="414">
      <c r="A414" s="273">
        <v>46117.0</v>
      </c>
      <c r="B414" s="213">
        <v>46058.0</v>
      </c>
      <c r="C414" s="203" t="s">
        <v>793</v>
      </c>
      <c r="D414" s="203" t="s">
        <v>794</v>
      </c>
      <c r="E414" s="185" t="s">
        <v>634</v>
      </c>
      <c r="F414" s="203">
        <v>6.26057954E8</v>
      </c>
      <c r="G414" s="203" t="s">
        <v>888</v>
      </c>
      <c r="H414" s="216">
        <v>1178.0</v>
      </c>
      <c r="I414" s="74" t="s">
        <v>931</v>
      </c>
      <c r="J414" s="204" t="s">
        <v>141</v>
      </c>
      <c r="K414" s="204">
        <v>8.882065568E9</v>
      </c>
      <c r="L414" s="223">
        <v>3000.0</v>
      </c>
      <c r="N414" s="186"/>
      <c r="O414" s="186"/>
      <c r="P414" s="186"/>
      <c r="Q414" s="203">
        <v>500.0</v>
      </c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</row>
    <row r="415">
      <c r="A415" s="272">
        <v>46117.0</v>
      </c>
      <c r="B415" s="208">
        <v>46058.0</v>
      </c>
      <c r="C415" s="209" t="s">
        <v>886</v>
      </c>
      <c r="D415" s="209" t="s">
        <v>991</v>
      </c>
      <c r="E415" s="154" t="s">
        <v>634</v>
      </c>
      <c r="F415" s="209">
        <v>6.2605796E8</v>
      </c>
      <c r="G415" s="209" t="s">
        <v>888</v>
      </c>
      <c r="H415" s="220">
        <v>6767.0</v>
      </c>
      <c r="I415" s="50" t="s">
        <v>124</v>
      </c>
      <c r="J415" s="154" t="s">
        <v>56</v>
      </c>
      <c r="K415" s="202">
        <v>7.290982776E9</v>
      </c>
      <c r="L415" s="219">
        <v>3000.0</v>
      </c>
      <c r="M415" s="211"/>
      <c r="N415" s="175"/>
      <c r="O415" s="175"/>
      <c r="P415" s="175"/>
      <c r="Q415" s="209">
        <v>250.0</v>
      </c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  <c r="AC415" s="175"/>
      <c r="AD415" s="175"/>
      <c r="AE415" s="175"/>
      <c r="AF415" s="175"/>
      <c r="AG415" s="175"/>
      <c r="AH415" s="175"/>
      <c r="AI415" s="175"/>
      <c r="AJ415" s="175"/>
      <c r="AK415" s="175"/>
      <c r="AL415" s="175"/>
      <c r="AM415" s="175"/>
      <c r="AN415" s="175"/>
      <c r="AO415" s="175"/>
      <c r="AP415" s="175"/>
      <c r="AQ415" s="175"/>
      <c r="AR415" s="175"/>
      <c r="AS415" s="175"/>
      <c r="AT415" s="175"/>
      <c r="AU415" s="175"/>
      <c r="AV415" s="175"/>
      <c r="AW415" s="175"/>
      <c r="AX415" s="175"/>
      <c r="AY415" s="7"/>
      <c r="AZ415" s="7"/>
      <c r="BA415" s="7"/>
      <c r="BB415" s="7"/>
      <c r="BC415" s="7"/>
      <c r="BD415" s="7"/>
    </row>
    <row r="416">
      <c r="A416" s="273">
        <v>46117.0</v>
      </c>
      <c r="B416" s="213">
        <v>46058.0</v>
      </c>
      <c r="C416" s="203" t="s">
        <v>992</v>
      </c>
      <c r="D416" s="203" t="s">
        <v>993</v>
      </c>
      <c r="E416" s="185" t="s">
        <v>634</v>
      </c>
      <c r="F416" s="203">
        <v>6.26057955E8</v>
      </c>
      <c r="G416" s="203" t="s">
        <v>888</v>
      </c>
      <c r="H416" s="216">
        <v>1179.0</v>
      </c>
      <c r="I416" s="47" t="s">
        <v>846</v>
      </c>
      <c r="J416" s="185" t="s">
        <v>141</v>
      </c>
      <c r="K416" s="204">
        <v>8.506009561E9</v>
      </c>
      <c r="L416" s="223">
        <v>3000.0</v>
      </c>
      <c r="M416" s="215"/>
      <c r="N416" s="186"/>
      <c r="O416" s="186"/>
      <c r="P416" s="186"/>
      <c r="Q416" s="203">
        <v>500.0</v>
      </c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7"/>
      <c r="AZ416" s="7"/>
      <c r="BA416" s="7"/>
      <c r="BB416" s="7"/>
      <c r="BC416" s="7"/>
      <c r="BD416" s="7"/>
    </row>
    <row r="417">
      <c r="A417" s="272"/>
      <c r="B417" s="209"/>
      <c r="C417" s="209"/>
      <c r="D417" s="209"/>
      <c r="E417" s="154"/>
      <c r="F417" s="209"/>
      <c r="G417" s="209"/>
      <c r="H417" s="220"/>
      <c r="I417" s="211"/>
      <c r="J417" s="154"/>
      <c r="K417" s="154"/>
      <c r="L417" s="209"/>
      <c r="M417" s="154"/>
      <c r="N417" s="154"/>
      <c r="O417" s="154"/>
      <c r="P417" s="154"/>
      <c r="Q417" s="209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51"/>
      <c r="AZ417" s="51"/>
      <c r="BA417" s="51"/>
      <c r="BB417" s="51"/>
      <c r="BC417" s="51"/>
      <c r="BD417" s="51"/>
    </row>
    <row r="418">
      <c r="A418" s="273"/>
      <c r="B418" s="203"/>
      <c r="C418" s="203"/>
      <c r="D418" s="203"/>
      <c r="E418" s="185"/>
      <c r="F418" s="203"/>
      <c r="G418" s="203"/>
      <c r="H418" s="216"/>
      <c r="I418" s="215"/>
      <c r="J418" s="185"/>
      <c r="K418" s="185"/>
      <c r="L418" s="277">
        <f>SUM(L413:L417)</f>
        <v>12000</v>
      </c>
      <c r="M418" s="185"/>
      <c r="N418" s="185"/>
      <c r="O418" s="185"/>
      <c r="P418" s="185"/>
      <c r="Q418" s="203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  <c r="AI418" s="185"/>
      <c r="AJ418" s="185"/>
      <c r="AK418" s="185"/>
      <c r="AL418" s="185"/>
      <c r="AM418" s="185"/>
      <c r="AN418" s="185"/>
      <c r="AO418" s="185"/>
      <c r="AP418" s="185"/>
      <c r="AQ418" s="185"/>
      <c r="AR418" s="185"/>
      <c r="AS418" s="185"/>
      <c r="AT418" s="185"/>
      <c r="AU418" s="185"/>
      <c r="AV418" s="185"/>
      <c r="AW418" s="185"/>
      <c r="AX418" s="185"/>
      <c r="AY418" s="51"/>
      <c r="AZ418" s="51"/>
      <c r="BA418" s="51"/>
      <c r="BB418" s="51"/>
      <c r="BC418" s="51"/>
      <c r="BD418" s="51"/>
    </row>
    <row r="419">
      <c r="A419" s="206">
        <v>46147.0</v>
      </c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6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75"/>
      <c r="AI419" s="175"/>
      <c r="AJ419" s="175"/>
      <c r="AK419" s="175"/>
      <c r="AL419" s="175"/>
      <c r="AM419" s="175"/>
      <c r="AN419" s="175"/>
      <c r="AO419" s="175"/>
      <c r="AP419" s="175"/>
      <c r="AQ419" s="175"/>
      <c r="AR419" s="175"/>
      <c r="AS419" s="175"/>
      <c r="AT419" s="175"/>
      <c r="AU419" s="175"/>
      <c r="AV419" s="175"/>
      <c r="AW419" s="175"/>
      <c r="AX419" s="175"/>
      <c r="AY419" s="2"/>
      <c r="AZ419" s="2"/>
      <c r="BA419" s="2"/>
      <c r="BB419" s="2"/>
      <c r="BC419" s="2"/>
      <c r="BD419" s="2"/>
    </row>
    <row r="420" ht="42.0" customHeight="1">
      <c r="A420" s="195" t="s">
        <v>0</v>
      </c>
      <c r="B420" s="195" t="s">
        <v>1</v>
      </c>
      <c r="C420" s="196" t="s">
        <v>2</v>
      </c>
      <c r="D420" s="196" t="s">
        <v>3</v>
      </c>
      <c r="E420" s="196" t="s">
        <v>4</v>
      </c>
      <c r="F420" s="196" t="s">
        <v>642</v>
      </c>
      <c r="G420" s="196" t="s">
        <v>643</v>
      </c>
      <c r="H420" s="196" t="s">
        <v>7</v>
      </c>
      <c r="I420" s="196" t="s">
        <v>8</v>
      </c>
      <c r="J420" s="196" t="s">
        <v>9</v>
      </c>
      <c r="K420" s="197" t="s">
        <v>10</v>
      </c>
      <c r="L420" s="197" t="s">
        <v>644</v>
      </c>
      <c r="M420" s="198" t="s">
        <v>645</v>
      </c>
      <c r="N420" s="196" t="s">
        <v>13</v>
      </c>
      <c r="O420" s="199" t="s">
        <v>14</v>
      </c>
      <c r="P420" s="200" t="s">
        <v>646</v>
      </c>
      <c r="Q420" s="197" t="s">
        <v>647</v>
      </c>
      <c r="R420" s="196" t="s">
        <v>16</v>
      </c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  <c r="BC420" s="201"/>
      <c r="BD420" s="201"/>
    </row>
    <row r="421">
      <c r="A421" s="272">
        <v>46147.0</v>
      </c>
      <c r="B421" s="209" t="s">
        <v>524</v>
      </c>
      <c r="C421" s="209" t="s">
        <v>994</v>
      </c>
      <c r="D421" s="209" t="s">
        <v>995</v>
      </c>
      <c r="E421" s="154" t="s">
        <v>634</v>
      </c>
      <c r="F421" s="209">
        <v>6.26048212E8</v>
      </c>
      <c r="G421" s="209" t="s">
        <v>888</v>
      </c>
      <c r="H421" s="220">
        <v>6773.0</v>
      </c>
      <c r="I421" s="50" t="s">
        <v>360</v>
      </c>
      <c r="J421" s="154" t="s">
        <v>56</v>
      </c>
      <c r="K421" s="202">
        <v>7.355962044E9</v>
      </c>
      <c r="L421" s="234">
        <f>6.675*250+191</f>
        <v>1859.75</v>
      </c>
      <c r="N421" s="154"/>
      <c r="O421" s="154"/>
      <c r="P421" s="154"/>
      <c r="Q421" s="209">
        <v>270.0</v>
      </c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51"/>
      <c r="AZ421" s="51"/>
      <c r="BA421" s="51"/>
      <c r="BB421" s="51"/>
      <c r="BC421" s="51"/>
      <c r="BD421" s="51"/>
    </row>
    <row r="422">
      <c r="A422" s="273">
        <v>46147.0</v>
      </c>
      <c r="B422" s="213">
        <v>46117.0</v>
      </c>
      <c r="C422" s="203" t="s">
        <v>996</v>
      </c>
      <c r="D422" s="216" t="s">
        <v>997</v>
      </c>
      <c r="E422" s="185" t="s">
        <v>634</v>
      </c>
      <c r="F422" s="203">
        <v>6.26057968E8</v>
      </c>
      <c r="H422" s="216">
        <v>6774.0</v>
      </c>
      <c r="I422" s="50" t="s">
        <v>360</v>
      </c>
      <c r="J422" s="185" t="s">
        <v>56</v>
      </c>
      <c r="K422" s="204">
        <v>7.355962044E9</v>
      </c>
      <c r="L422" s="238">
        <f>6.575*490</f>
        <v>3221.75</v>
      </c>
      <c r="M422" s="238"/>
      <c r="N422" s="185"/>
      <c r="O422" s="185"/>
      <c r="P422" s="185"/>
      <c r="Q422" s="223">
        <v>490.0</v>
      </c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  <c r="AF422" s="185"/>
      <c r="AG422" s="185"/>
      <c r="AH422" s="185"/>
      <c r="AI422" s="185"/>
      <c r="AJ422" s="185"/>
      <c r="AK422" s="185"/>
      <c r="AL422" s="185"/>
      <c r="AM422" s="185"/>
      <c r="AN422" s="185"/>
      <c r="AO422" s="185"/>
      <c r="AP422" s="185"/>
      <c r="AQ422" s="185"/>
      <c r="AR422" s="185"/>
      <c r="AS422" s="185"/>
      <c r="AT422" s="185"/>
      <c r="AU422" s="185"/>
      <c r="AV422" s="185"/>
      <c r="AW422" s="185"/>
      <c r="AX422" s="185"/>
      <c r="AY422" s="51"/>
      <c r="AZ422" s="51"/>
      <c r="BA422" s="51"/>
      <c r="BB422" s="51"/>
      <c r="BC422" s="51"/>
      <c r="BD422" s="51"/>
    </row>
    <row r="423">
      <c r="A423" s="272">
        <v>46147.0</v>
      </c>
      <c r="B423" s="208">
        <v>46117.0</v>
      </c>
      <c r="C423" s="209" t="s">
        <v>998</v>
      </c>
      <c r="D423" s="209" t="s">
        <v>999</v>
      </c>
      <c r="E423" s="154" t="s">
        <v>634</v>
      </c>
      <c r="F423" s="209">
        <v>6.26057966E8</v>
      </c>
      <c r="H423" s="220">
        <v>6775.0</v>
      </c>
      <c r="I423" s="50" t="s">
        <v>124</v>
      </c>
      <c r="J423" s="154" t="s">
        <v>56</v>
      </c>
      <c r="K423" s="202">
        <v>7.290982776E9</v>
      </c>
      <c r="L423" s="219">
        <v>1350.0</v>
      </c>
      <c r="N423" s="154"/>
      <c r="O423" s="154"/>
      <c r="P423" s="154"/>
      <c r="Q423" s="219">
        <v>225.0</v>
      </c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51"/>
      <c r="AZ423" s="51"/>
      <c r="BA423" s="51"/>
      <c r="BB423" s="51"/>
      <c r="BC423" s="51"/>
      <c r="BD423" s="51"/>
    </row>
    <row r="424">
      <c r="A424" s="273">
        <v>46147.0</v>
      </c>
      <c r="B424" s="213">
        <v>46117.0</v>
      </c>
      <c r="C424" s="203" t="s">
        <v>1000</v>
      </c>
      <c r="D424" s="203" t="s">
        <v>1001</v>
      </c>
      <c r="E424" s="185" t="s">
        <v>634</v>
      </c>
      <c r="F424" s="203">
        <v>6.26057967E8</v>
      </c>
      <c r="H424" s="216">
        <v>6776.0</v>
      </c>
      <c r="I424" s="50" t="s">
        <v>124</v>
      </c>
      <c r="J424" s="185" t="s">
        <v>56</v>
      </c>
      <c r="K424" s="204">
        <v>7.290982776E9</v>
      </c>
      <c r="L424" s="223">
        <v>1800.0</v>
      </c>
      <c r="N424" s="185"/>
      <c r="O424" s="185"/>
      <c r="P424" s="185"/>
      <c r="Q424" s="223">
        <v>300.0</v>
      </c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  <c r="AF424" s="185"/>
      <c r="AG424" s="185"/>
      <c r="AH424" s="185"/>
      <c r="AI424" s="185"/>
      <c r="AJ424" s="185"/>
      <c r="AK424" s="185"/>
      <c r="AL424" s="185"/>
      <c r="AM424" s="185"/>
      <c r="AN424" s="185"/>
      <c r="AO424" s="185"/>
      <c r="AP424" s="185"/>
      <c r="AQ424" s="185"/>
      <c r="AR424" s="185"/>
      <c r="AS424" s="185"/>
      <c r="AT424" s="185"/>
      <c r="AU424" s="185"/>
      <c r="AV424" s="185"/>
      <c r="AW424" s="185"/>
      <c r="AX424" s="185"/>
      <c r="AY424" s="51"/>
      <c r="AZ424" s="51"/>
      <c r="BA424" s="51"/>
      <c r="BB424" s="51"/>
      <c r="BC424" s="51"/>
      <c r="BD424" s="51"/>
    </row>
    <row r="425">
      <c r="A425" s="272">
        <v>46147.0</v>
      </c>
      <c r="B425" s="209" t="s">
        <v>524</v>
      </c>
      <c r="C425" s="209" t="s">
        <v>758</v>
      </c>
      <c r="D425" s="220" t="s">
        <v>914</v>
      </c>
      <c r="E425" s="154" t="s">
        <v>634</v>
      </c>
      <c r="F425" s="209">
        <v>6.26048249E8</v>
      </c>
      <c r="G425" s="209"/>
      <c r="H425" s="220">
        <v>6777.0</v>
      </c>
      <c r="I425" s="20" t="s">
        <v>55</v>
      </c>
      <c r="J425" s="152" t="s">
        <v>56</v>
      </c>
      <c r="K425" s="153">
        <v>9.718858411E9</v>
      </c>
      <c r="L425" s="234">
        <v>5000.0</v>
      </c>
      <c r="M425" s="175"/>
      <c r="N425" s="175"/>
      <c r="O425" s="175"/>
      <c r="P425" s="175"/>
      <c r="Q425" s="209">
        <v>416.0</v>
      </c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  <c r="AI425" s="175"/>
      <c r="AJ425" s="175"/>
      <c r="AK425" s="175"/>
      <c r="AL425" s="175"/>
      <c r="AM425" s="175"/>
      <c r="AN425" s="175"/>
      <c r="AO425" s="175"/>
      <c r="AP425" s="175"/>
      <c r="AQ425" s="175"/>
      <c r="AR425" s="175"/>
      <c r="AS425" s="175"/>
      <c r="AT425" s="175"/>
      <c r="AU425" s="175"/>
      <c r="AV425" s="175"/>
      <c r="AW425" s="175"/>
      <c r="AX425" s="175"/>
    </row>
    <row r="426">
      <c r="A426" s="273">
        <v>46147.0</v>
      </c>
      <c r="B426" s="203" t="s">
        <v>524</v>
      </c>
      <c r="C426" s="203" t="s">
        <v>758</v>
      </c>
      <c r="D426" s="216" t="s">
        <v>914</v>
      </c>
      <c r="E426" s="185" t="s">
        <v>634</v>
      </c>
      <c r="F426" s="203">
        <v>6.2604825E8</v>
      </c>
      <c r="G426" s="203"/>
      <c r="H426" s="216">
        <v>6777.0</v>
      </c>
      <c r="I426" s="20" t="s">
        <v>55</v>
      </c>
      <c r="J426" s="152" t="s">
        <v>56</v>
      </c>
      <c r="K426" s="153">
        <v>9.718858411E9</v>
      </c>
      <c r="L426" s="238">
        <v>5000.0</v>
      </c>
      <c r="M426" s="186"/>
      <c r="N426" s="186"/>
      <c r="O426" s="186"/>
      <c r="P426" s="186"/>
      <c r="Q426" s="203">
        <v>416.0</v>
      </c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</row>
    <row r="427">
      <c r="A427" s="272">
        <v>46147.0</v>
      </c>
      <c r="B427" s="208">
        <v>46117.0</v>
      </c>
      <c r="C427" s="209" t="s">
        <v>851</v>
      </c>
      <c r="D427" s="209" t="s">
        <v>1002</v>
      </c>
      <c r="E427" s="154" t="s">
        <v>634</v>
      </c>
      <c r="F427" s="209">
        <v>6.26057964E8</v>
      </c>
      <c r="H427" s="220">
        <v>1183.0</v>
      </c>
      <c r="I427" s="52" t="s">
        <v>511</v>
      </c>
      <c r="J427" s="154" t="s">
        <v>141</v>
      </c>
      <c r="K427" s="154">
        <v>8.285997574E9</v>
      </c>
      <c r="L427" s="219">
        <v>2400.0</v>
      </c>
      <c r="N427" s="154"/>
      <c r="O427" s="154"/>
      <c r="P427" s="154"/>
      <c r="Q427" s="219">
        <v>400.0</v>
      </c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51"/>
      <c r="AZ427" s="51"/>
      <c r="BA427" s="51"/>
      <c r="BB427" s="51"/>
      <c r="BC427" s="51"/>
      <c r="BD427" s="51"/>
    </row>
    <row r="428">
      <c r="A428" s="273">
        <v>46147.0</v>
      </c>
      <c r="B428" s="213">
        <v>46147.0</v>
      </c>
      <c r="C428" s="203" t="s">
        <v>815</v>
      </c>
      <c r="D428" s="203" t="s">
        <v>1003</v>
      </c>
      <c r="F428" s="203">
        <v>6.2605797E8</v>
      </c>
      <c r="H428" s="203">
        <v>1185.0</v>
      </c>
      <c r="I428" s="74" t="s">
        <v>1004</v>
      </c>
      <c r="J428" s="185" t="s">
        <v>141</v>
      </c>
      <c r="K428" s="204">
        <v>8.368850864E9</v>
      </c>
      <c r="L428" s="238">
        <v>3000.0</v>
      </c>
      <c r="N428" s="185"/>
      <c r="O428" s="185"/>
      <c r="P428" s="185"/>
      <c r="Q428" s="214">
        <v>500.0</v>
      </c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  <c r="AF428" s="185"/>
      <c r="AG428" s="185"/>
      <c r="AH428" s="185"/>
      <c r="AI428" s="185"/>
      <c r="AJ428" s="185"/>
      <c r="AK428" s="185"/>
      <c r="AL428" s="185"/>
      <c r="AM428" s="185"/>
      <c r="AN428" s="185"/>
      <c r="AO428" s="185"/>
      <c r="AP428" s="185"/>
      <c r="AQ428" s="185"/>
      <c r="AR428" s="185"/>
      <c r="AS428" s="185"/>
      <c r="AT428" s="185"/>
      <c r="AU428" s="185"/>
      <c r="AV428" s="185"/>
      <c r="AW428" s="185"/>
      <c r="AX428" s="185"/>
      <c r="AY428" s="51"/>
      <c r="AZ428" s="51"/>
      <c r="BA428" s="51"/>
      <c r="BB428" s="51"/>
      <c r="BC428" s="51"/>
      <c r="BD428" s="51"/>
    </row>
    <row r="429">
      <c r="A429" s="272">
        <v>46147.0</v>
      </c>
      <c r="B429" s="209" t="s">
        <v>524</v>
      </c>
      <c r="C429" s="209" t="s">
        <v>1005</v>
      </c>
      <c r="D429" s="209" t="s">
        <v>1006</v>
      </c>
      <c r="E429" s="154" t="s">
        <v>634</v>
      </c>
      <c r="F429" s="209">
        <v>6.26048213E8</v>
      </c>
      <c r="G429" s="209" t="s">
        <v>888</v>
      </c>
      <c r="H429" s="220">
        <v>6779.0</v>
      </c>
      <c r="I429" s="52" t="s">
        <v>114</v>
      </c>
      <c r="J429" s="154" t="s">
        <v>56</v>
      </c>
      <c r="K429" s="154">
        <v>9.956958533E9</v>
      </c>
      <c r="L429" s="234">
        <v>2070.0</v>
      </c>
      <c r="M429" s="154"/>
      <c r="N429" s="154"/>
      <c r="O429" s="154"/>
      <c r="P429" s="154"/>
      <c r="Q429" s="209">
        <v>330.0</v>
      </c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51"/>
      <c r="AZ429" s="51"/>
      <c r="BA429" s="51"/>
      <c r="BB429" s="51"/>
      <c r="BC429" s="51"/>
      <c r="BD429" s="51"/>
    </row>
    <row r="430">
      <c r="A430" s="273">
        <v>46147.0</v>
      </c>
      <c r="B430" s="203" t="s">
        <v>524</v>
      </c>
      <c r="C430" s="203" t="s">
        <v>812</v>
      </c>
      <c r="D430" s="216" t="s">
        <v>813</v>
      </c>
      <c r="E430" s="185" t="s">
        <v>634</v>
      </c>
      <c r="F430" s="203">
        <v>6.26048245E8</v>
      </c>
      <c r="G430" s="203" t="s">
        <v>888</v>
      </c>
      <c r="H430" s="216">
        <v>6780.0</v>
      </c>
      <c r="I430" s="52" t="s">
        <v>114</v>
      </c>
      <c r="J430" s="185" t="s">
        <v>56</v>
      </c>
      <c r="K430" s="185">
        <v>9.956958533E9</v>
      </c>
      <c r="L430" s="238">
        <v>3000.0</v>
      </c>
      <c r="M430" s="186"/>
      <c r="N430" s="186"/>
      <c r="O430" s="186"/>
      <c r="P430" s="186"/>
      <c r="Q430" s="203">
        <v>250.0</v>
      </c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</row>
    <row r="431">
      <c r="A431" s="272">
        <v>46147.0</v>
      </c>
      <c r="B431" s="208">
        <v>46058.0</v>
      </c>
      <c r="C431" s="209" t="s">
        <v>112</v>
      </c>
      <c r="D431" s="209" t="s">
        <v>422</v>
      </c>
      <c r="E431" s="154" t="s">
        <v>634</v>
      </c>
      <c r="F431" s="209">
        <v>6.26057951E8</v>
      </c>
      <c r="H431" s="209" t="s">
        <v>29</v>
      </c>
      <c r="I431" s="20" t="s">
        <v>63</v>
      </c>
      <c r="J431" s="154" t="s">
        <v>64</v>
      </c>
      <c r="K431" s="154">
        <v>9.779272314E9</v>
      </c>
      <c r="L431" s="219">
        <v>1392.0</v>
      </c>
      <c r="N431" s="175"/>
      <c r="O431" s="175"/>
      <c r="P431" s="175"/>
      <c r="Q431" s="209">
        <v>150.0</v>
      </c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  <c r="AC431" s="175"/>
      <c r="AD431" s="175"/>
      <c r="AE431" s="175"/>
      <c r="AF431" s="175"/>
      <c r="AG431" s="175"/>
      <c r="AH431" s="175"/>
      <c r="AI431" s="175"/>
      <c r="AJ431" s="175"/>
      <c r="AK431" s="175"/>
      <c r="AL431" s="175"/>
      <c r="AM431" s="175"/>
      <c r="AN431" s="175"/>
      <c r="AO431" s="175"/>
      <c r="AP431" s="175"/>
      <c r="AQ431" s="175"/>
      <c r="AR431" s="175"/>
      <c r="AS431" s="175"/>
      <c r="AT431" s="175"/>
      <c r="AU431" s="175"/>
      <c r="AV431" s="175"/>
      <c r="AW431" s="175"/>
      <c r="AX431" s="175"/>
    </row>
    <row r="432">
      <c r="A432" s="273"/>
      <c r="B432" s="203"/>
      <c r="C432" s="203"/>
      <c r="D432" s="203"/>
      <c r="E432" s="185"/>
      <c r="F432" s="203"/>
      <c r="G432" s="203"/>
      <c r="L432" s="223"/>
      <c r="M432" s="186"/>
      <c r="N432" s="186"/>
      <c r="O432" s="186"/>
      <c r="P432" s="186"/>
      <c r="Q432" s="203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</row>
    <row r="433">
      <c r="A433" s="272"/>
      <c r="B433" s="209"/>
      <c r="C433" s="209"/>
      <c r="D433" s="209"/>
      <c r="E433" s="154"/>
      <c r="F433" s="209"/>
      <c r="G433" s="209"/>
      <c r="L433" s="237">
        <f>SUM(L421:L432)</f>
        <v>30093.5</v>
      </c>
      <c r="M433" s="175"/>
      <c r="N433" s="175"/>
      <c r="O433" s="175"/>
      <c r="P433" s="175"/>
      <c r="Q433" s="209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  <c r="AC433" s="175"/>
      <c r="AD433" s="175"/>
      <c r="AE433" s="175"/>
      <c r="AF433" s="175"/>
      <c r="AG433" s="175"/>
      <c r="AH433" s="175"/>
      <c r="AI433" s="175"/>
      <c r="AJ433" s="175"/>
      <c r="AK433" s="175"/>
      <c r="AL433" s="175"/>
      <c r="AM433" s="175"/>
      <c r="AN433" s="175"/>
      <c r="AO433" s="175"/>
      <c r="AP433" s="175"/>
      <c r="AQ433" s="175"/>
      <c r="AR433" s="175"/>
      <c r="AS433" s="175"/>
      <c r="AT433" s="175"/>
      <c r="AU433" s="175"/>
      <c r="AV433" s="175"/>
      <c r="AW433" s="175"/>
      <c r="AX433" s="175"/>
    </row>
    <row r="434">
      <c r="A434" s="273"/>
      <c r="B434" s="203"/>
      <c r="C434" s="203"/>
      <c r="D434" s="203"/>
      <c r="E434" s="185"/>
      <c r="F434" s="203"/>
      <c r="G434" s="203"/>
      <c r="L434" s="223"/>
      <c r="M434" s="186"/>
      <c r="N434" s="186"/>
      <c r="O434" s="186"/>
      <c r="P434" s="186"/>
      <c r="Q434" s="203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</row>
    <row r="435">
      <c r="A435" s="272"/>
      <c r="B435" s="209"/>
      <c r="C435" s="209"/>
      <c r="D435" s="209"/>
      <c r="E435" s="154"/>
      <c r="F435" s="209"/>
      <c r="G435" s="209"/>
      <c r="L435" s="219"/>
      <c r="M435" s="175"/>
      <c r="N435" s="175"/>
      <c r="O435" s="175"/>
      <c r="P435" s="175"/>
      <c r="Q435" s="209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  <c r="AI435" s="175"/>
      <c r="AJ435" s="175"/>
      <c r="AK435" s="175"/>
      <c r="AL435" s="175"/>
      <c r="AM435" s="175"/>
      <c r="AN435" s="175"/>
      <c r="AO435" s="175"/>
      <c r="AP435" s="175"/>
      <c r="AQ435" s="175"/>
      <c r="AR435" s="175"/>
      <c r="AS435" s="175"/>
      <c r="AT435" s="175"/>
      <c r="AU435" s="175"/>
      <c r="AV435" s="175"/>
      <c r="AW435" s="175"/>
      <c r="AX435" s="175"/>
    </row>
    <row r="436">
      <c r="A436" s="206">
        <v>46178.0</v>
      </c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9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2"/>
      <c r="AZ436" s="2"/>
      <c r="BA436" s="2"/>
      <c r="BB436" s="2"/>
      <c r="BC436" s="2"/>
      <c r="BD436" s="2"/>
    </row>
    <row r="437" ht="42.0" customHeight="1">
      <c r="A437" s="195" t="s">
        <v>0</v>
      </c>
      <c r="B437" s="195" t="s">
        <v>1</v>
      </c>
      <c r="C437" s="196" t="s">
        <v>2</v>
      </c>
      <c r="D437" s="196" t="s">
        <v>3</v>
      </c>
      <c r="E437" s="196" t="s">
        <v>4</v>
      </c>
      <c r="F437" s="196" t="s">
        <v>642</v>
      </c>
      <c r="G437" s="196" t="s">
        <v>643</v>
      </c>
      <c r="H437" s="196" t="s">
        <v>7</v>
      </c>
      <c r="I437" s="196" t="s">
        <v>8</v>
      </c>
      <c r="J437" s="196" t="s">
        <v>9</v>
      </c>
      <c r="K437" s="197" t="s">
        <v>10</v>
      </c>
      <c r="L437" s="197" t="s">
        <v>644</v>
      </c>
      <c r="M437" s="198" t="s">
        <v>645</v>
      </c>
      <c r="N437" s="196" t="s">
        <v>13</v>
      </c>
      <c r="O437" s="199" t="s">
        <v>14</v>
      </c>
      <c r="P437" s="200" t="s">
        <v>646</v>
      </c>
      <c r="Q437" s="197" t="s">
        <v>647</v>
      </c>
      <c r="R437" s="196" t="s">
        <v>16</v>
      </c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  <c r="AQ437" s="201"/>
      <c r="AR437" s="201"/>
      <c r="AS437" s="201"/>
      <c r="AT437" s="201"/>
      <c r="AU437" s="201"/>
      <c r="AV437" s="201"/>
      <c r="AW437" s="201"/>
      <c r="AX437" s="201"/>
      <c r="AY437" s="201"/>
      <c r="AZ437" s="201"/>
      <c r="BA437" s="201"/>
      <c r="BB437" s="201"/>
      <c r="BC437" s="201"/>
      <c r="BD437" s="201"/>
    </row>
    <row r="438">
      <c r="A438" s="273">
        <v>46178.0</v>
      </c>
      <c r="B438" s="273">
        <v>46147.0</v>
      </c>
      <c r="C438" s="203" t="s">
        <v>906</v>
      </c>
      <c r="D438" s="203" t="s">
        <v>907</v>
      </c>
      <c r="E438" s="185" t="s">
        <v>634</v>
      </c>
      <c r="F438" s="203">
        <v>6.26057981E8</v>
      </c>
      <c r="G438" s="203"/>
      <c r="H438" s="216">
        <v>1186.0</v>
      </c>
      <c r="I438" s="20" t="s">
        <v>511</v>
      </c>
      <c r="J438" s="185" t="s">
        <v>141</v>
      </c>
      <c r="K438" s="185">
        <v>8.285997574E9</v>
      </c>
      <c r="L438" s="203">
        <v>3000.0</v>
      </c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49"/>
      <c r="AZ438" s="49"/>
      <c r="BA438" s="49"/>
      <c r="BB438" s="49"/>
      <c r="BC438" s="49"/>
      <c r="BD438" s="49"/>
    </row>
    <row r="439">
      <c r="A439" s="272">
        <v>46178.0</v>
      </c>
      <c r="B439" s="272">
        <v>46147.0</v>
      </c>
      <c r="C439" s="209" t="s">
        <v>760</v>
      </c>
      <c r="D439" s="209" t="s">
        <v>761</v>
      </c>
      <c r="E439" s="154" t="s">
        <v>634</v>
      </c>
      <c r="F439" s="209">
        <v>6.26057982E8</v>
      </c>
      <c r="G439" s="209"/>
      <c r="H439" s="220">
        <v>1187.0</v>
      </c>
      <c r="I439" s="74" t="s">
        <v>714</v>
      </c>
      <c r="J439" s="220" t="s">
        <v>141</v>
      </c>
      <c r="K439" s="202">
        <v>8.882065568E9</v>
      </c>
      <c r="L439" s="209">
        <v>3000.0</v>
      </c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  <c r="AL439" s="209"/>
      <c r="AM439" s="209"/>
      <c r="AN439" s="209"/>
      <c r="AO439" s="209"/>
      <c r="AP439" s="209"/>
      <c r="AQ439" s="209"/>
      <c r="AR439" s="209"/>
      <c r="AS439" s="209"/>
      <c r="AT439" s="209"/>
      <c r="AU439" s="209"/>
      <c r="AV439" s="209"/>
      <c r="AW439" s="209"/>
      <c r="AX439" s="209"/>
      <c r="AY439" s="49"/>
      <c r="AZ439" s="49"/>
      <c r="BA439" s="49"/>
      <c r="BB439" s="49"/>
      <c r="BC439" s="49"/>
      <c r="BD439" s="49"/>
    </row>
    <row r="440">
      <c r="A440" s="273">
        <v>46178.0</v>
      </c>
      <c r="B440" s="273">
        <v>46147.0</v>
      </c>
      <c r="C440" s="203" t="s">
        <v>702</v>
      </c>
      <c r="D440" s="203" t="s">
        <v>703</v>
      </c>
      <c r="E440" s="185" t="s">
        <v>634</v>
      </c>
      <c r="F440" s="203">
        <v>6.26057976E8</v>
      </c>
      <c r="G440" s="203"/>
      <c r="H440" s="216">
        <v>6781.0</v>
      </c>
      <c r="I440" s="20" t="s">
        <v>127</v>
      </c>
      <c r="J440" s="185" t="s">
        <v>56</v>
      </c>
      <c r="K440" s="185">
        <v>8.826871385E9</v>
      </c>
      <c r="L440" s="203">
        <v>4920.0</v>
      </c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49"/>
      <c r="AZ440" s="49"/>
      <c r="BA440" s="49"/>
      <c r="BB440" s="49"/>
      <c r="BC440" s="49"/>
      <c r="BD440" s="49"/>
    </row>
    <row r="441">
      <c r="A441" s="272">
        <v>46178.0</v>
      </c>
      <c r="B441" s="272">
        <v>46147.0</v>
      </c>
      <c r="C441" s="209" t="s">
        <v>702</v>
      </c>
      <c r="D441" s="209" t="s">
        <v>703</v>
      </c>
      <c r="E441" s="154" t="s">
        <v>634</v>
      </c>
      <c r="F441" s="209">
        <v>6.26057983E8</v>
      </c>
      <c r="G441" s="209"/>
      <c r="H441" s="220">
        <v>6781.0</v>
      </c>
      <c r="I441" s="20" t="s">
        <v>127</v>
      </c>
      <c r="J441" s="154" t="s">
        <v>56</v>
      </c>
      <c r="K441" s="154">
        <v>8.826871385E9</v>
      </c>
      <c r="L441" s="209">
        <v>240.0</v>
      </c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  <c r="AL441" s="209"/>
      <c r="AM441" s="209"/>
      <c r="AN441" s="209"/>
      <c r="AO441" s="209"/>
      <c r="AP441" s="209"/>
      <c r="AQ441" s="209"/>
      <c r="AR441" s="209"/>
      <c r="AS441" s="209"/>
      <c r="AT441" s="209"/>
      <c r="AU441" s="209"/>
      <c r="AV441" s="209"/>
      <c r="AW441" s="209"/>
      <c r="AX441" s="209"/>
      <c r="AY441" s="49"/>
      <c r="AZ441" s="49"/>
      <c r="BA441" s="49"/>
      <c r="BB441" s="49"/>
      <c r="BC441" s="49"/>
      <c r="BD441" s="49"/>
    </row>
    <row r="442">
      <c r="A442" s="273">
        <v>46178.0</v>
      </c>
      <c r="B442" s="203" t="s">
        <v>524</v>
      </c>
      <c r="C442" s="203" t="s">
        <v>715</v>
      </c>
      <c r="D442" s="203" t="s">
        <v>716</v>
      </c>
      <c r="E442" s="185" t="s">
        <v>634</v>
      </c>
      <c r="F442" s="203">
        <v>6.26048233E8</v>
      </c>
      <c r="G442" s="203" t="s">
        <v>961</v>
      </c>
      <c r="H442" s="259">
        <v>6872.0</v>
      </c>
      <c r="I442" s="20" t="s">
        <v>55</v>
      </c>
      <c r="J442" s="152" t="s">
        <v>56</v>
      </c>
      <c r="K442" s="153">
        <v>9.718858411E9</v>
      </c>
      <c r="L442" s="223">
        <v>6000.0</v>
      </c>
      <c r="M442" s="186"/>
      <c r="N442" s="186"/>
      <c r="O442" s="186"/>
      <c r="P442" s="186"/>
      <c r="Q442" s="203">
        <v>1000.0</v>
      </c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</row>
    <row r="443">
      <c r="A443" s="272">
        <v>46178.0</v>
      </c>
      <c r="B443" s="272">
        <v>46147.0</v>
      </c>
      <c r="C443" s="209" t="s">
        <v>822</v>
      </c>
      <c r="D443" s="209" t="s">
        <v>948</v>
      </c>
      <c r="E443" s="154" t="s">
        <v>634</v>
      </c>
      <c r="F443" s="209">
        <v>6.26057978E8</v>
      </c>
      <c r="G443" s="220" t="s">
        <v>1007</v>
      </c>
      <c r="H443" s="220">
        <v>6783.0</v>
      </c>
      <c r="I443" s="50" t="s">
        <v>124</v>
      </c>
      <c r="J443" s="154" t="s">
        <v>56</v>
      </c>
      <c r="K443" s="202">
        <v>7.290982776E9</v>
      </c>
      <c r="L443" s="209">
        <v>2700.0</v>
      </c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  <c r="AL443" s="209"/>
      <c r="AM443" s="209"/>
      <c r="AN443" s="209"/>
      <c r="AO443" s="209"/>
      <c r="AP443" s="209"/>
      <c r="AQ443" s="209"/>
      <c r="AR443" s="209"/>
      <c r="AS443" s="209"/>
      <c r="AT443" s="209"/>
      <c r="AU443" s="209"/>
      <c r="AV443" s="209"/>
      <c r="AW443" s="209"/>
      <c r="AX443" s="209"/>
      <c r="AY443" s="49"/>
      <c r="AZ443" s="49"/>
      <c r="BA443" s="49"/>
      <c r="BB443" s="49"/>
      <c r="BC443" s="49"/>
      <c r="BD443" s="49"/>
    </row>
    <row r="444">
      <c r="A444" s="273">
        <v>46178.0</v>
      </c>
      <c r="B444" s="273">
        <v>46147.0</v>
      </c>
      <c r="C444" s="203" t="s">
        <v>726</v>
      </c>
      <c r="D444" s="203" t="s">
        <v>727</v>
      </c>
      <c r="E444" s="185" t="s">
        <v>634</v>
      </c>
      <c r="F444" s="203">
        <v>6.26057979E8</v>
      </c>
      <c r="G444" s="203"/>
      <c r="H444" s="216">
        <v>6784.0</v>
      </c>
      <c r="I444" s="50" t="s">
        <v>360</v>
      </c>
      <c r="J444" s="185" t="s">
        <v>56</v>
      </c>
      <c r="K444" s="204">
        <v>7.355962044E9</v>
      </c>
      <c r="L444" s="203">
        <v>2760.0</v>
      </c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  <c r="AP444" s="203"/>
      <c r="AQ444" s="203"/>
      <c r="AR444" s="203"/>
      <c r="AS444" s="203"/>
      <c r="AT444" s="203"/>
      <c r="AU444" s="203"/>
      <c r="AV444" s="203"/>
      <c r="AW444" s="203"/>
      <c r="AX444" s="203"/>
      <c r="AY444" s="49"/>
      <c r="AZ444" s="49"/>
      <c r="BA444" s="49"/>
      <c r="BB444" s="49"/>
      <c r="BC444" s="49"/>
      <c r="BD444" s="49"/>
    </row>
    <row r="445">
      <c r="A445" s="272">
        <v>46178.0</v>
      </c>
      <c r="B445" s="272">
        <v>46147.0</v>
      </c>
      <c r="C445" s="209" t="s">
        <v>712</v>
      </c>
      <c r="D445" s="209" t="s">
        <v>713</v>
      </c>
      <c r="E445" s="154" t="s">
        <v>634</v>
      </c>
      <c r="F445" s="209">
        <v>6.26057977E8</v>
      </c>
      <c r="G445" s="209"/>
      <c r="H445" s="220">
        <v>1188.0</v>
      </c>
      <c r="I445" s="74" t="s">
        <v>826</v>
      </c>
      <c r="J445" s="220" t="s">
        <v>141</v>
      </c>
      <c r="K445" s="202">
        <v>7.530893252E9</v>
      </c>
      <c r="L445" s="209">
        <v>2400.0</v>
      </c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  <c r="AL445" s="209"/>
      <c r="AM445" s="209"/>
      <c r="AN445" s="209"/>
      <c r="AO445" s="209"/>
      <c r="AP445" s="209"/>
      <c r="AQ445" s="209"/>
      <c r="AR445" s="209"/>
      <c r="AS445" s="209"/>
      <c r="AT445" s="209"/>
      <c r="AU445" s="209"/>
      <c r="AV445" s="209"/>
      <c r="AW445" s="209"/>
      <c r="AX445" s="209"/>
      <c r="AY445" s="49"/>
      <c r="AZ445" s="49"/>
      <c r="BA445" s="49"/>
      <c r="BB445" s="49"/>
      <c r="BC445" s="49"/>
      <c r="BD445" s="49"/>
    </row>
    <row r="446">
      <c r="A446" s="273">
        <v>46178.0</v>
      </c>
      <c r="B446" s="273">
        <v>46147.0</v>
      </c>
      <c r="C446" s="185" t="s">
        <v>871</v>
      </c>
      <c r="D446" s="185" t="s">
        <v>872</v>
      </c>
      <c r="E446" s="185" t="s">
        <v>634</v>
      </c>
      <c r="F446" s="185">
        <v>6.26057971E8</v>
      </c>
      <c r="G446" s="185"/>
      <c r="H446" s="204">
        <v>1189.0</v>
      </c>
      <c r="I446" s="47" t="s">
        <v>511</v>
      </c>
      <c r="J446" s="185" t="s">
        <v>141</v>
      </c>
      <c r="K446" s="185">
        <v>8.285997574E9</v>
      </c>
      <c r="L446" s="185">
        <v>3000.0</v>
      </c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  <c r="AF446" s="185"/>
      <c r="AG446" s="185"/>
      <c r="AH446" s="185"/>
      <c r="AI446" s="185"/>
      <c r="AJ446" s="185"/>
      <c r="AK446" s="185"/>
      <c r="AL446" s="185"/>
      <c r="AM446" s="185"/>
      <c r="AN446" s="185"/>
      <c r="AO446" s="185"/>
      <c r="AP446" s="185"/>
      <c r="AQ446" s="185"/>
      <c r="AR446" s="185"/>
      <c r="AS446" s="185"/>
      <c r="AT446" s="185"/>
      <c r="AU446" s="185"/>
      <c r="AV446" s="185"/>
      <c r="AW446" s="185"/>
      <c r="AX446" s="185"/>
      <c r="AY446" s="151"/>
      <c r="AZ446" s="151"/>
      <c r="BA446" s="151"/>
      <c r="BB446" s="151"/>
      <c r="BC446" s="151"/>
      <c r="BD446" s="151"/>
    </row>
    <row r="447">
      <c r="A447" s="272">
        <v>46178.0</v>
      </c>
      <c r="B447" s="272">
        <v>46058.0</v>
      </c>
      <c r="C447" s="209" t="s">
        <v>202</v>
      </c>
      <c r="D447" s="209" t="s">
        <v>1008</v>
      </c>
      <c r="E447" s="202" t="s">
        <v>591</v>
      </c>
      <c r="F447" s="209">
        <v>6.26057962E8</v>
      </c>
      <c r="H447" s="220">
        <v>45426.0</v>
      </c>
      <c r="I447" s="74" t="s">
        <v>533</v>
      </c>
      <c r="J447" s="154" t="s">
        <v>592</v>
      </c>
      <c r="K447" s="220">
        <v>9.354218659E9</v>
      </c>
      <c r="L447" s="234">
        <v>381.0</v>
      </c>
      <c r="M447" s="211"/>
      <c r="N447" s="175"/>
      <c r="O447" s="175"/>
      <c r="P447" s="175"/>
      <c r="Q447" s="209">
        <v>150.0</v>
      </c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  <c r="AG447" s="175"/>
      <c r="AH447" s="175"/>
      <c r="AI447" s="175"/>
      <c r="AJ447" s="175"/>
      <c r="AK447" s="175"/>
      <c r="AL447" s="175"/>
      <c r="AM447" s="175"/>
      <c r="AN447" s="175"/>
      <c r="AO447" s="175"/>
      <c r="AP447" s="175"/>
      <c r="AQ447" s="175"/>
      <c r="AR447" s="175"/>
      <c r="AS447" s="175"/>
      <c r="AT447" s="175"/>
      <c r="AU447" s="175"/>
      <c r="AV447" s="175"/>
      <c r="AW447" s="175"/>
      <c r="AX447" s="175"/>
      <c r="AY447" s="7"/>
      <c r="AZ447" s="7"/>
      <c r="BA447" s="7"/>
      <c r="BB447" s="7"/>
      <c r="BC447" s="7"/>
      <c r="BD447" s="7"/>
    </row>
    <row r="448">
      <c r="A448" s="273">
        <v>46178.0</v>
      </c>
      <c r="B448" s="213">
        <v>46117.0</v>
      </c>
      <c r="C448" s="203" t="s">
        <v>683</v>
      </c>
      <c r="D448" s="203" t="s">
        <v>684</v>
      </c>
      <c r="E448" s="185" t="s">
        <v>634</v>
      </c>
      <c r="F448" s="203">
        <v>6.26057963E8</v>
      </c>
      <c r="H448" s="216">
        <v>6785.0</v>
      </c>
      <c r="I448" s="52" t="s">
        <v>114</v>
      </c>
      <c r="J448" s="185" t="s">
        <v>56</v>
      </c>
      <c r="K448" s="185">
        <v>9.956958533E9</v>
      </c>
      <c r="L448" s="223">
        <v>6000.0</v>
      </c>
      <c r="N448" s="185"/>
      <c r="O448" s="185"/>
      <c r="P448" s="185"/>
      <c r="Q448" s="223">
        <v>1000.0</v>
      </c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  <c r="AF448" s="185"/>
      <c r="AG448" s="185"/>
      <c r="AH448" s="185"/>
      <c r="AI448" s="185"/>
      <c r="AJ448" s="185"/>
      <c r="AK448" s="185"/>
      <c r="AL448" s="185"/>
      <c r="AM448" s="185"/>
      <c r="AN448" s="185"/>
      <c r="AO448" s="185"/>
      <c r="AP448" s="185"/>
      <c r="AQ448" s="185"/>
      <c r="AR448" s="185"/>
      <c r="AS448" s="185"/>
      <c r="AT448" s="185"/>
      <c r="AU448" s="185"/>
      <c r="AV448" s="185"/>
      <c r="AW448" s="185"/>
      <c r="AX448" s="185"/>
      <c r="AY448" s="51"/>
      <c r="AZ448" s="51"/>
      <c r="BA448" s="51"/>
      <c r="BB448" s="51"/>
      <c r="BC448" s="51"/>
      <c r="BD448" s="51"/>
    </row>
    <row r="449">
      <c r="A449" s="272"/>
      <c r="B449" s="211"/>
      <c r="C449" s="211"/>
      <c r="D449" s="211"/>
      <c r="E449" s="211"/>
      <c r="F449" s="278"/>
      <c r="G449" s="211"/>
      <c r="H449" s="211"/>
      <c r="I449" s="211"/>
      <c r="J449" s="154"/>
      <c r="K449" s="175"/>
      <c r="L449" s="269"/>
      <c r="M449" s="175"/>
      <c r="N449" s="175"/>
      <c r="O449" s="175"/>
      <c r="P449" s="175"/>
      <c r="Q449" s="154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  <c r="AF449" s="175"/>
      <c r="AG449" s="175"/>
      <c r="AH449" s="175"/>
      <c r="AI449" s="175"/>
      <c r="AJ449" s="175"/>
      <c r="AK449" s="175"/>
      <c r="AL449" s="175"/>
      <c r="AM449" s="175"/>
      <c r="AN449" s="175"/>
      <c r="AO449" s="175"/>
      <c r="AP449" s="175"/>
      <c r="AQ449" s="175"/>
      <c r="AR449" s="175"/>
      <c r="AS449" s="175"/>
      <c r="AT449" s="175"/>
      <c r="AU449" s="175"/>
      <c r="AV449" s="175"/>
      <c r="AW449" s="175"/>
      <c r="AX449" s="175"/>
    </row>
    <row r="450">
      <c r="A450" s="273"/>
      <c r="B450" s="215"/>
      <c r="C450" s="215"/>
      <c r="D450" s="215"/>
      <c r="E450" s="215"/>
      <c r="F450" s="215"/>
      <c r="G450" s="215"/>
      <c r="H450" s="215"/>
      <c r="I450" s="215"/>
      <c r="J450" s="185"/>
      <c r="K450" s="186"/>
      <c r="L450" s="279">
        <f>SUM(L438:L449)</f>
        <v>34401</v>
      </c>
      <c r="M450" s="186"/>
      <c r="N450" s="186"/>
      <c r="O450" s="186"/>
      <c r="P450" s="186"/>
      <c r="Q450" s="185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</row>
    <row r="451">
      <c r="A451" s="272"/>
      <c r="B451" s="211"/>
      <c r="C451" s="211"/>
      <c r="D451" s="211"/>
      <c r="E451" s="211"/>
      <c r="F451" s="211"/>
      <c r="G451" s="211"/>
      <c r="H451" s="211"/>
      <c r="I451" s="211"/>
      <c r="J451" s="154"/>
      <c r="K451" s="175"/>
      <c r="L451" s="269"/>
      <c r="M451" s="175"/>
      <c r="N451" s="175"/>
      <c r="O451" s="175"/>
      <c r="P451" s="175"/>
      <c r="Q451" s="154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  <c r="AG451" s="175"/>
      <c r="AH451" s="175"/>
      <c r="AI451" s="175"/>
      <c r="AJ451" s="175"/>
      <c r="AK451" s="175"/>
      <c r="AL451" s="175"/>
      <c r="AM451" s="175"/>
      <c r="AN451" s="175"/>
      <c r="AO451" s="175"/>
      <c r="AP451" s="175"/>
      <c r="AQ451" s="175"/>
      <c r="AR451" s="175"/>
      <c r="AS451" s="175"/>
      <c r="AT451" s="175"/>
      <c r="AU451" s="175"/>
      <c r="AV451" s="175"/>
      <c r="AW451" s="175"/>
      <c r="AX451" s="175"/>
    </row>
    <row r="452">
      <c r="A452" s="273"/>
      <c r="B452" s="215"/>
      <c r="C452" s="215"/>
      <c r="D452" s="215"/>
      <c r="E452" s="215"/>
      <c r="F452" s="215"/>
      <c r="G452" s="215"/>
      <c r="H452" s="215"/>
      <c r="I452" s="215"/>
      <c r="J452" s="185"/>
      <c r="K452" s="186"/>
      <c r="L452" s="268"/>
      <c r="M452" s="186"/>
      <c r="N452" s="186"/>
      <c r="O452" s="186"/>
      <c r="P452" s="186"/>
      <c r="Q452" s="185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</row>
    <row r="453">
      <c r="A453" s="272"/>
      <c r="B453" s="211"/>
      <c r="C453" s="211"/>
      <c r="D453" s="211"/>
      <c r="E453" s="211"/>
      <c r="F453" s="211"/>
      <c r="G453" s="211"/>
      <c r="H453" s="211"/>
      <c r="I453" s="211"/>
      <c r="J453" s="154"/>
      <c r="K453" s="175"/>
      <c r="L453" s="269"/>
      <c r="M453" s="175"/>
      <c r="N453" s="175"/>
      <c r="O453" s="175"/>
      <c r="P453" s="175"/>
      <c r="Q453" s="154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  <c r="AG453" s="175"/>
      <c r="AH453" s="175"/>
      <c r="AI453" s="175"/>
      <c r="AJ453" s="175"/>
      <c r="AK453" s="175"/>
      <c r="AL453" s="175"/>
      <c r="AM453" s="175"/>
      <c r="AN453" s="175"/>
      <c r="AO453" s="175"/>
      <c r="AP453" s="175"/>
      <c r="AQ453" s="175"/>
      <c r="AR453" s="175"/>
      <c r="AS453" s="175"/>
      <c r="AT453" s="175"/>
      <c r="AU453" s="175"/>
      <c r="AV453" s="175"/>
      <c r="AW453" s="175"/>
      <c r="AX453" s="175"/>
    </row>
    <row r="454">
      <c r="A454" s="206">
        <v>46208.0</v>
      </c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9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2"/>
      <c r="AZ454" s="2"/>
      <c r="BA454" s="2"/>
      <c r="BB454" s="2"/>
      <c r="BC454" s="2"/>
      <c r="BD454" s="2"/>
    </row>
    <row r="455" ht="42.0" customHeight="1">
      <c r="A455" s="195" t="s">
        <v>0</v>
      </c>
      <c r="B455" s="195" t="s">
        <v>1</v>
      </c>
      <c r="C455" s="196" t="s">
        <v>2</v>
      </c>
      <c r="D455" s="196" t="s">
        <v>3</v>
      </c>
      <c r="E455" s="196" t="s">
        <v>4</v>
      </c>
      <c r="F455" s="196" t="s">
        <v>642</v>
      </c>
      <c r="G455" s="196" t="s">
        <v>643</v>
      </c>
      <c r="H455" s="196" t="s">
        <v>7</v>
      </c>
      <c r="I455" s="196" t="s">
        <v>8</v>
      </c>
      <c r="J455" s="196" t="s">
        <v>9</v>
      </c>
      <c r="K455" s="197" t="s">
        <v>10</v>
      </c>
      <c r="L455" s="197" t="s">
        <v>644</v>
      </c>
      <c r="M455" s="198" t="s">
        <v>645</v>
      </c>
      <c r="N455" s="196" t="s">
        <v>13</v>
      </c>
      <c r="O455" s="199" t="s">
        <v>14</v>
      </c>
      <c r="P455" s="200" t="s">
        <v>646</v>
      </c>
      <c r="Q455" s="197" t="s">
        <v>647</v>
      </c>
      <c r="R455" s="196" t="s">
        <v>16</v>
      </c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  <c r="BC455" s="201"/>
      <c r="BD455" s="201"/>
    </row>
    <row r="456">
      <c r="A456" s="121">
        <v>46208.0</v>
      </c>
      <c r="B456" s="121">
        <v>46147.0</v>
      </c>
      <c r="C456" s="49" t="s">
        <v>669</v>
      </c>
      <c r="D456" s="49" t="s">
        <v>670</v>
      </c>
      <c r="E456" s="151" t="s">
        <v>634</v>
      </c>
      <c r="F456" s="49">
        <v>6.26057985E8</v>
      </c>
      <c r="G456" s="49"/>
      <c r="H456" s="63">
        <v>1190.0</v>
      </c>
      <c r="I456" s="47" t="s">
        <v>511</v>
      </c>
      <c r="J456" s="151" t="s">
        <v>141</v>
      </c>
      <c r="K456" s="151">
        <v>8.285997574E9</v>
      </c>
      <c r="L456" s="49">
        <v>3120.0</v>
      </c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</row>
    <row r="457">
      <c r="A457" s="121">
        <v>46208.0</v>
      </c>
      <c r="B457" s="121">
        <v>46178.0</v>
      </c>
      <c r="C457" s="151" t="s">
        <v>763</v>
      </c>
      <c r="D457" s="151" t="s">
        <v>764</v>
      </c>
      <c r="E457" s="151" t="s">
        <v>634</v>
      </c>
      <c r="F457" s="151">
        <v>6.26057989E8</v>
      </c>
      <c r="H457" s="63">
        <v>1191.0</v>
      </c>
      <c r="I457" s="74" t="s">
        <v>714</v>
      </c>
      <c r="J457" s="63" t="s">
        <v>141</v>
      </c>
      <c r="K457" s="280">
        <v>8.882065568E9</v>
      </c>
      <c r="L457" s="151">
        <v>3000.0</v>
      </c>
    </row>
    <row r="458">
      <c r="A458" s="121">
        <v>46208.0</v>
      </c>
      <c r="B458" s="121">
        <v>46178.0</v>
      </c>
      <c r="C458" s="151" t="s">
        <v>791</v>
      </c>
      <c r="D458" s="151" t="s">
        <v>923</v>
      </c>
      <c r="E458" s="151" t="s">
        <v>634</v>
      </c>
      <c r="F458" s="151">
        <v>6.26057991E8</v>
      </c>
      <c r="G458" s="130" t="s">
        <v>1009</v>
      </c>
      <c r="H458" s="63">
        <v>1192.0</v>
      </c>
      <c r="I458" s="74" t="s">
        <v>1004</v>
      </c>
      <c r="J458" s="154" t="s">
        <v>141</v>
      </c>
      <c r="K458" s="202">
        <v>8.368850864E9</v>
      </c>
      <c r="L458" s="151">
        <v>2640.0</v>
      </c>
    </row>
    <row r="459">
      <c r="A459" s="121">
        <v>46208.0</v>
      </c>
      <c r="B459" s="121">
        <v>46147.0</v>
      </c>
      <c r="C459" s="49" t="s">
        <v>936</v>
      </c>
      <c r="D459" s="49" t="s">
        <v>1010</v>
      </c>
      <c r="E459" s="151" t="s">
        <v>634</v>
      </c>
      <c r="F459" s="49">
        <v>6.2605798E8</v>
      </c>
      <c r="G459" s="49"/>
      <c r="H459" s="63">
        <v>6790.0</v>
      </c>
      <c r="I459" s="50" t="s">
        <v>124</v>
      </c>
      <c r="J459" s="154" t="s">
        <v>56</v>
      </c>
      <c r="K459" s="202">
        <v>7.290982776E9</v>
      </c>
      <c r="L459" s="49">
        <v>3000.0</v>
      </c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</row>
    <row r="460">
      <c r="A460" s="121">
        <v>46208.0</v>
      </c>
      <c r="B460" s="121">
        <v>46178.0</v>
      </c>
      <c r="C460" s="151" t="s">
        <v>894</v>
      </c>
      <c r="D460" s="151" t="s">
        <v>944</v>
      </c>
      <c r="E460" s="151" t="s">
        <v>634</v>
      </c>
      <c r="F460" s="151">
        <v>6.2605799E8</v>
      </c>
      <c r="H460" s="63">
        <v>6788.0</v>
      </c>
      <c r="I460" s="50" t="s">
        <v>360</v>
      </c>
      <c r="J460" s="154" t="s">
        <v>56</v>
      </c>
      <c r="K460" s="202">
        <v>7.355962044E9</v>
      </c>
      <c r="L460" s="151">
        <v>3000.0</v>
      </c>
    </row>
    <row r="461">
      <c r="A461" s="121">
        <v>46208.0</v>
      </c>
      <c r="B461" s="121">
        <v>46147.0</v>
      </c>
      <c r="C461" s="49" t="s">
        <v>758</v>
      </c>
      <c r="D461" s="63" t="s">
        <v>1011</v>
      </c>
      <c r="E461" s="151" t="s">
        <v>634</v>
      </c>
      <c r="F461" s="151">
        <v>6.26057984E8</v>
      </c>
      <c r="G461" s="49"/>
      <c r="H461" s="63">
        <v>6789.0</v>
      </c>
      <c r="I461" s="20" t="s">
        <v>127</v>
      </c>
      <c r="J461" s="154" t="s">
        <v>56</v>
      </c>
      <c r="K461" s="154">
        <v>8.826871385E9</v>
      </c>
      <c r="L461" s="151">
        <v>5544.0</v>
      </c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</row>
    <row r="462">
      <c r="A462" s="121">
        <v>46208.0</v>
      </c>
      <c r="B462" s="121">
        <v>46147.0</v>
      </c>
      <c r="C462" s="151" t="s">
        <v>959</v>
      </c>
      <c r="D462" s="151" t="s">
        <v>960</v>
      </c>
      <c r="E462" s="151" t="s">
        <v>634</v>
      </c>
      <c r="F462" s="151">
        <v>6.26057972E8</v>
      </c>
      <c r="G462" s="151"/>
      <c r="H462" s="63">
        <v>6788.0</v>
      </c>
      <c r="I462" s="52" t="s">
        <v>114</v>
      </c>
      <c r="J462" s="154" t="s">
        <v>56</v>
      </c>
      <c r="K462" s="154">
        <v>9.956958533E9</v>
      </c>
      <c r="L462" s="151">
        <v>3000.0</v>
      </c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  <c r="AR462" s="151"/>
      <c r="AS462" s="151"/>
      <c r="AT462" s="151"/>
      <c r="AU462" s="151"/>
      <c r="AV462" s="151"/>
      <c r="AW462" s="151"/>
      <c r="AX462" s="151"/>
      <c r="AY462" s="151"/>
      <c r="AZ462" s="151"/>
      <c r="BA462" s="151"/>
      <c r="BB462" s="151"/>
      <c r="BC462" s="151"/>
      <c r="BD462" s="151"/>
    </row>
    <row r="463">
      <c r="A463" s="121">
        <v>46208.0</v>
      </c>
      <c r="B463" s="121">
        <v>46147.0</v>
      </c>
      <c r="C463" s="151" t="s">
        <v>959</v>
      </c>
      <c r="D463" s="151" t="s">
        <v>960</v>
      </c>
      <c r="E463" s="151" t="s">
        <v>634</v>
      </c>
      <c r="F463" s="151">
        <v>6.26057973E8</v>
      </c>
      <c r="G463" s="151"/>
      <c r="H463" s="63">
        <v>6788.0</v>
      </c>
      <c r="I463" s="52" t="s">
        <v>114</v>
      </c>
      <c r="J463" s="151" t="s">
        <v>56</v>
      </c>
      <c r="K463" s="151">
        <v>9.956958533E9</v>
      </c>
      <c r="L463" s="151">
        <v>3000.0</v>
      </c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/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</row>
    <row r="464">
      <c r="A464" s="121">
        <v>46178.0</v>
      </c>
      <c r="B464" s="121">
        <v>46178.0</v>
      </c>
      <c r="C464" s="63" t="s">
        <v>1012</v>
      </c>
      <c r="D464" s="63" t="s">
        <v>1013</v>
      </c>
      <c r="E464" s="63" t="s">
        <v>634</v>
      </c>
      <c r="F464" s="63">
        <v>6.26057994E8</v>
      </c>
      <c r="G464" s="51"/>
      <c r="H464" s="63" t="s">
        <v>75</v>
      </c>
      <c r="I464" s="74" t="s">
        <v>1014</v>
      </c>
      <c r="J464" s="63" t="s">
        <v>263</v>
      </c>
      <c r="K464" s="63">
        <v>9.929154212E9</v>
      </c>
      <c r="L464" s="63">
        <v>7500.0</v>
      </c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</row>
    <row r="465">
      <c r="A465" s="121">
        <v>46178.0</v>
      </c>
      <c r="B465" s="121">
        <v>46178.0</v>
      </c>
      <c r="C465" s="63" t="s">
        <v>1012</v>
      </c>
      <c r="D465" s="63" t="s">
        <v>1013</v>
      </c>
      <c r="E465" s="63" t="s">
        <v>634</v>
      </c>
      <c r="F465" s="63">
        <v>6.26057995E8</v>
      </c>
      <c r="G465" s="51"/>
      <c r="H465" s="63" t="s">
        <v>75</v>
      </c>
      <c r="I465" s="74" t="s">
        <v>1014</v>
      </c>
      <c r="J465" s="63" t="s">
        <v>263</v>
      </c>
      <c r="K465" s="63">
        <v>9.929154212E9</v>
      </c>
      <c r="L465" s="63">
        <v>7500.0</v>
      </c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</row>
    <row r="466">
      <c r="A466" s="121">
        <v>46178.0</v>
      </c>
      <c r="B466" s="121">
        <v>46178.0</v>
      </c>
      <c r="C466" s="63" t="s">
        <v>1012</v>
      </c>
      <c r="D466" s="63" t="s">
        <v>1013</v>
      </c>
      <c r="E466" s="63" t="s">
        <v>634</v>
      </c>
      <c r="F466" s="63">
        <v>6.26057996E8</v>
      </c>
      <c r="G466" s="51"/>
      <c r="H466" s="63" t="s">
        <v>75</v>
      </c>
      <c r="I466" s="74" t="s">
        <v>1014</v>
      </c>
      <c r="J466" s="63" t="s">
        <v>263</v>
      </c>
      <c r="K466" s="63">
        <v>9.929154212E9</v>
      </c>
      <c r="L466" s="63">
        <v>7500.0</v>
      </c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</row>
    <row r="467">
      <c r="A467" s="121">
        <v>46178.0</v>
      </c>
      <c r="B467" s="121">
        <v>46178.0</v>
      </c>
      <c r="C467" s="63" t="s">
        <v>1012</v>
      </c>
      <c r="D467" s="63" t="s">
        <v>1013</v>
      </c>
      <c r="E467" s="63" t="s">
        <v>634</v>
      </c>
      <c r="F467" s="63">
        <v>6.26057997E8</v>
      </c>
      <c r="G467" s="51"/>
      <c r="H467" s="63" t="s">
        <v>75</v>
      </c>
      <c r="I467" s="74" t="s">
        <v>1014</v>
      </c>
      <c r="J467" s="63" t="s">
        <v>263</v>
      </c>
      <c r="K467" s="63">
        <v>9.929154212E9</v>
      </c>
      <c r="L467" s="63">
        <v>7500.0</v>
      </c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</row>
    <row r="468">
      <c r="A468" s="121"/>
      <c r="B468" s="121"/>
      <c r="C468" s="63"/>
      <c r="D468" s="63"/>
      <c r="E468" s="63"/>
      <c r="F468" s="63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</row>
    <row r="469">
      <c r="L469" s="281">
        <f>SUM(L456:L468)</f>
        <v>56304</v>
      </c>
    </row>
    <row r="470">
      <c r="A470" s="206">
        <v>46239.0</v>
      </c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9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2"/>
      <c r="AZ470" s="2"/>
      <c r="BA470" s="2"/>
      <c r="BB470" s="2"/>
      <c r="BC470" s="2"/>
      <c r="BD470" s="2"/>
    </row>
    <row r="471" ht="42.0" customHeight="1">
      <c r="A471" s="195" t="s">
        <v>0</v>
      </c>
      <c r="B471" s="195" t="s">
        <v>1</v>
      </c>
      <c r="C471" s="196" t="s">
        <v>2</v>
      </c>
      <c r="D471" s="196" t="s">
        <v>3</v>
      </c>
      <c r="E471" s="196" t="s">
        <v>4</v>
      </c>
      <c r="F471" s="196" t="s">
        <v>642</v>
      </c>
      <c r="G471" s="196" t="s">
        <v>643</v>
      </c>
      <c r="H471" s="196" t="s">
        <v>7</v>
      </c>
      <c r="I471" s="196" t="s">
        <v>8</v>
      </c>
      <c r="J471" s="196" t="s">
        <v>9</v>
      </c>
      <c r="K471" s="197" t="s">
        <v>10</v>
      </c>
      <c r="L471" s="197" t="s">
        <v>644</v>
      </c>
      <c r="M471" s="198" t="s">
        <v>645</v>
      </c>
      <c r="N471" s="196" t="s">
        <v>13</v>
      </c>
      <c r="O471" s="199" t="s">
        <v>14</v>
      </c>
      <c r="P471" s="200" t="s">
        <v>646</v>
      </c>
      <c r="Q471" s="197" t="s">
        <v>647</v>
      </c>
      <c r="R471" s="196" t="s">
        <v>16</v>
      </c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  <c r="AP471" s="201"/>
      <c r="AQ471" s="201"/>
      <c r="AR471" s="201"/>
      <c r="AS471" s="201"/>
      <c r="AT471" s="201"/>
      <c r="AU471" s="201"/>
      <c r="AV471" s="201"/>
      <c r="AW471" s="201"/>
      <c r="AX471" s="201"/>
      <c r="AY471" s="201"/>
      <c r="AZ471" s="201"/>
      <c r="BA471" s="201"/>
      <c r="BB471" s="201"/>
      <c r="BC471" s="201"/>
      <c r="BD471" s="201"/>
    </row>
    <row r="472">
      <c r="A472" s="121">
        <v>46208.0</v>
      </c>
      <c r="B472" s="49" t="s">
        <v>524</v>
      </c>
      <c r="C472" s="49" t="s">
        <v>715</v>
      </c>
      <c r="D472" s="49" t="s">
        <v>716</v>
      </c>
      <c r="E472" s="151" t="s">
        <v>634</v>
      </c>
      <c r="F472" s="49">
        <v>6.26048234E8</v>
      </c>
      <c r="G472" s="49" t="s">
        <v>961</v>
      </c>
      <c r="H472" s="42">
        <v>6796.0</v>
      </c>
      <c r="I472" s="20" t="s">
        <v>55</v>
      </c>
      <c r="J472" s="152" t="s">
        <v>56</v>
      </c>
      <c r="K472" s="153">
        <v>9.718858411E9</v>
      </c>
      <c r="L472" s="151">
        <v>6000.0</v>
      </c>
      <c r="M472" s="7"/>
      <c r="N472" s="7"/>
      <c r="O472" s="7"/>
      <c r="P472" s="7"/>
      <c r="Q472" s="49">
        <v>1000.0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>
      <c r="A473" s="121">
        <v>46208.0</v>
      </c>
      <c r="B473" s="83">
        <v>46208.0</v>
      </c>
      <c r="C473" s="49" t="s">
        <v>863</v>
      </c>
      <c r="D473" s="49" t="s">
        <v>947</v>
      </c>
      <c r="E473" s="151" t="s">
        <v>634</v>
      </c>
      <c r="F473" s="49">
        <v>6.26057998E8</v>
      </c>
      <c r="H473" s="42">
        <v>6794.0</v>
      </c>
      <c r="I473" s="50" t="s">
        <v>360</v>
      </c>
      <c r="J473" s="154" t="s">
        <v>56</v>
      </c>
      <c r="K473" s="202">
        <v>7.355962044E9</v>
      </c>
      <c r="L473" s="65">
        <v>3000.0</v>
      </c>
      <c r="Q473" s="65">
        <v>250.0</v>
      </c>
    </row>
    <row r="474">
      <c r="A474" s="121">
        <v>46178.0</v>
      </c>
      <c r="B474" s="121">
        <v>46147.0</v>
      </c>
      <c r="C474" s="49" t="s">
        <v>633</v>
      </c>
      <c r="D474" s="49" t="s">
        <v>421</v>
      </c>
      <c r="E474" s="151" t="s">
        <v>634</v>
      </c>
      <c r="F474" s="49">
        <v>6.26057975E8</v>
      </c>
      <c r="G474" s="49"/>
      <c r="H474" s="63" t="s">
        <v>75</v>
      </c>
      <c r="I474" s="20" t="s">
        <v>63</v>
      </c>
      <c r="J474" s="157" t="s">
        <v>64</v>
      </c>
      <c r="K474" s="157">
        <v>9.779272314E9</v>
      </c>
      <c r="L474" s="49">
        <v>480.0</v>
      </c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</row>
    <row r="475">
      <c r="A475" s="121">
        <v>46208.0</v>
      </c>
      <c r="B475" s="83">
        <v>46208.0</v>
      </c>
      <c r="C475" s="49" t="s">
        <v>801</v>
      </c>
      <c r="D475" s="63" t="s">
        <v>1015</v>
      </c>
      <c r="E475" s="151" t="s">
        <v>634</v>
      </c>
      <c r="F475" s="49">
        <v>6.26058001E8</v>
      </c>
      <c r="H475" s="42">
        <v>6795.0</v>
      </c>
      <c r="I475" s="282" t="s">
        <v>124</v>
      </c>
      <c r="J475" s="151" t="s">
        <v>56</v>
      </c>
      <c r="K475" s="283">
        <v>7.290982776E9</v>
      </c>
      <c r="L475" s="65">
        <v>3000.0</v>
      </c>
      <c r="Q475" s="49">
        <v>250.0</v>
      </c>
    </row>
    <row r="476">
      <c r="A476" s="121"/>
      <c r="B476" s="121"/>
      <c r="C476" s="151"/>
      <c r="D476" s="283"/>
      <c r="E476" s="151"/>
      <c r="F476" s="151"/>
      <c r="H476" s="17"/>
      <c r="I476" s="162"/>
      <c r="J476" s="162"/>
      <c r="K476" s="162"/>
      <c r="L476" s="151"/>
      <c r="Q476" s="63"/>
    </row>
    <row r="477">
      <c r="A477" s="121"/>
      <c r="B477" s="121"/>
      <c r="C477" s="151"/>
      <c r="D477" s="283"/>
      <c r="E477" s="151"/>
      <c r="F477" s="151"/>
      <c r="H477" s="63"/>
      <c r="I477" s="162"/>
      <c r="J477" s="162"/>
      <c r="K477" s="162"/>
      <c r="L477" s="151"/>
      <c r="Q477" s="63"/>
    </row>
    <row r="478">
      <c r="A478" s="121"/>
      <c r="B478" s="121"/>
      <c r="C478" s="151"/>
      <c r="D478" s="283"/>
      <c r="E478" s="151"/>
      <c r="F478" s="151"/>
      <c r="H478" s="63"/>
      <c r="I478" s="162"/>
      <c r="J478" s="162"/>
      <c r="K478" s="162"/>
      <c r="L478" s="151"/>
      <c r="Q478" s="63"/>
    </row>
    <row r="479">
      <c r="A479" s="121"/>
      <c r="B479" s="121"/>
      <c r="C479" s="151"/>
      <c r="D479" s="283"/>
      <c r="E479" s="151"/>
      <c r="F479" s="151"/>
      <c r="H479" s="63"/>
      <c r="I479" s="162"/>
      <c r="J479" s="162"/>
      <c r="K479" s="162"/>
      <c r="L479" s="151"/>
      <c r="Q479" s="63"/>
    </row>
    <row r="480">
      <c r="A480" s="121"/>
      <c r="B480" s="121"/>
      <c r="C480" s="151"/>
      <c r="D480" s="283"/>
      <c r="E480" s="151"/>
      <c r="F480" s="151"/>
      <c r="H480" s="63"/>
      <c r="I480" s="162"/>
      <c r="J480" s="162"/>
      <c r="K480" s="162"/>
      <c r="L480" s="151"/>
      <c r="Q480" s="63"/>
    </row>
    <row r="481">
      <c r="A481" s="121"/>
      <c r="B481" s="121"/>
      <c r="C481" s="151"/>
      <c r="D481" s="283"/>
      <c r="E481" s="151"/>
      <c r="F481" s="151"/>
      <c r="H481" s="63"/>
      <c r="I481" s="162"/>
      <c r="J481" s="162"/>
      <c r="K481" s="162"/>
      <c r="L481" s="151"/>
      <c r="Q481" s="63"/>
    </row>
    <row r="482">
      <c r="A482" s="121"/>
      <c r="B482" s="121"/>
      <c r="C482" s="151"/>
      <c r="D482" s="283"/>
      <c r="E482" s="151"/>
      <c r="F482" s="151"/>
      <c r="H482" s="63"/>
      <c r="I482" s="162"/>
      <c r="J482" s="162"/>
      <c r="K482" s="162"/>
      <c r="L482" s="151"/>
      <c r="Q482" s="63"/>
    </row>
    <row r="483">
      <c r="A483" s="121"/>
      <c r="B483" s="121"/>
      <c r="C483" s="151"/>
      <c r="D483" s="283"/>
      <c r="E483" s="151"/>
      <c r="F483" s="151"/>
      <c r="H483" s="63"/>
      <c r="I483" s="63"/>
      <c r="J483" s="63"/>
      <c r="K483" s="63"/>
      <c r="L483" s="151"/>
      <c r="Q483" s="63"/>
    </row>
    <row r="484">
      <c r="A484" s="121">
        <v>46208.0</v>
      </c>
      <c r="B484" s="121">
        <v>46178.0</v>
      </c>
      <c r="C484" s="151" t="s">
        <v>112</v>
      </c>
      <c r="D484" s="283" t="s">
        <v>375</v>
      </c>
      <c r="E484" s="151" t="s">
        <v>634</v>
      </c>
      <c r="F484" s="151">
        <v>6.26057988E8</v>
      </c>
      <c r="H484" s="17"/>
      <c r="I484" s="284"/>
      <c r="J484" s="63" t="s">
        <v>1016</v>
      </c>
      <c r="K484" s="285"/>
      <c r="L484" s="151">
        <v>1248.0</v>
      </c>
      <c r="Q484" s="63">
        <v>208.0</v>
      </c>
    </row>
    <row r="485" ht="15.0" customHeight="1">
      <c r="A485" s="121">
        <v>46208.0</v>
      </c>
      <c r="B485" s="151" t="s">
        <v>1017</v>
      </c>
      <c r="C485" s="151" t="s">
        <v>67</v>
      </c>
      <c r="D485" s="151" t="s">
        <v>68</v>
      </c>
      <c r="E485" s="151" t="s">
        <v>634</v>
      </c>
      <c r="F485" s="151">
        <v>6.25118103E8</v>
      </c>
      <c r="G485" s="49"/>
      <c r="H485" s="7"/>
      <c r="I485" s="7"/>
      <c r="J485" s="88" t="s">
        <v>1018</v>
      </c>
      <c r="K485" s="7"/>
      <c r="L485" s="63">
        <v>0.0</v>
      </c>
      <c r="M485" s="7"/>
      <c r="N485" s="7"/>
      <c r="O485" s="7"/>
      <c r="P485" s="7"/>
      <c r="Q485" s="151">
        <v>200.0</v>
      </c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2"/>
      <c r="AZ485" s="2"/>
      <c r="BA485" s="2"/>
      <c r="BB485" s="2"/>
      <c r="BC485" s="2"/>
      <c r="BD485" s="2"/>
    </row>
    <row r="486">
      <c r="A486" s="121">
        <v>46208.0</v>
      </c>
      <c r="B486" s="121">
        <v>46147.0</v>
      </c>
      <c r="C486" s="151" t="s">
        <v>1019</v>
      </c>
      <c r="D486" s="151" t="s">
        <v>1020</v>
      </c>
      <c r="E486" s="151" t="s">
        <v>634</v>
      </c>
      <c r="F486" s="151">
        <v>6.26057969E8</v>
      </c>
      <c r="G486" s="151"/>
      <c r="H486" s="151"/>
      <c r="I486" s="151"/>
      <c r="J486" s="151"/>
      <c r="K486" s="151"/>
      <c r="L486" s="151">
        <v>0.0</v>
      </c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  <c r="AK486" s="151"/>
      <c r="AL486" s="151"/>
      <c r="AM486" s="151"/>
      <c r="AN486" s="151"/>
      <c r="AO486" s="151"/>
      <c r="AP486" s="151"/>
      <c r="AQ486" s="151"/>
      <c r="AR486" s="151"/>
      <c r="AS486" s="151"/>
      <c r="AT486" s="151"/>
      <c r="AU486" s="151"/>
      <c r="AV486" s="151"/>
      <c r="AW486" s="151"/>
      <c r="AX486" s="151"/>
      <c r="AY486" s="151"/>
      <c r="AZ486" s="151"/>
      <c r="BA486" s="151"/>
      <c r="BB486" s="151"/>
      <c r="BC486" s="151"/>
      <c r="BD486" s="151"/>
    </row>
    <row r="492">
      <c r="B492" s="51"/>
      <c r="C492" s="51"/>
      <c r="D492" s="51"/>
      <c r="E492" s="51"/>
      <c r="F492" s="51"/>
      <c r="G492" s="51"/>
    </row>
  </sheetData>
  <autoFilter ref="$A$437:$BD$455"/>
  <mergeCells count="34">
    <mergeCell ref="A1:B1"/>
    <mergeCell ref="A17:B17"/>
    <mergeCell ref="A29:B29"/>
    <mergeCell ref="A43:B43"/>
    <mergeCell ref="A52:B52"/>
    <mergeCell ref="A62:B62"/>
    <mergeCell ref="A72:B72"/>
    <mergeCell ref="A83:B83"/>
    <mergeCell ref="A104:B104"/>
    <mergeCell ref="A114:B114"/>
    <mergeCell ref="A125:B125"/>
    <mergeCell ref="A137:B137"/>
    <mergeCell ref="A146:B146"/>
    <mergeCell ref="A152:B152"/>
    <mergeCell ref="A167:B167"/>
    <mergeCell ref="A176:B176"/>
    <mergeCell ref="A189:B189"/>
    <mergeCell ref="A200:B200"/>
    <mergeCell ref="A212:B212"/>
    <mergeCell ref="A233:B233"/>
    <mergeCell ref="A251:B251"/>
    <mergeCell ref="A389:B389"/>
    <mergeCell ref="A411:B411"/>
    <mergeCell ref="A419:B419"/>
    <mergeCell ref="A436:B436"/>
    <mergeCell ref="A454:B454"/>
    <mergeCell ref="A470:B470"/>
    <mergeCell ref="A270:B270"/>
    <mergeCell ref="A281:B281"/>
    <mergeCell ref="A308:B308"/>
    <mergeCell ref="A317:B317"/>
    <mergeCell ref="A326:B326"/>
    <mergeCell ref="A348:B348"/>
    <mergeCell ref="A363:B363"/>
  </mergeCells>
  <conditionalFormatting sqref="F1:F491 F493:F3646">
    <cfRule type="expression" dxfId="3" priority="1">
      <formula>countif(F:F,F1)&gt;1</formula>
    </cfRule>
  </conditionalFormatting>
  <conditionalFormatting sqref="H33">
    <cfRule type="expression" dxfId="3" priority="2">
      <formula>countif(#REF!,H33)&gt;1</formula>
    </cfRule>
  </conditionalFormatting>
  <hyperlinks>
    <hyperlink r:id="rId1" ref="D239"/>
    <hyperlink r:id="rId2" ref="D343"/>
    <hyperlink r:id="rId3" ref="D370"/>
    <hyperlink r:id="rId4" ref="D401"/>
    <hyperlink r:id="rId5" ref="D407"/>
  </hyperlinks>
  <drawing r:id="rId6"/>
  <tableParts count="8"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38"/>
    <col customWidth="1" min="3" max="3" width="26.25"/>
    <col customWidth="1" min="4" max="4" width="23.38"/>
    <col customWidth="1" min="5" max="5" width="25.13"/>
  </cols>
  <sheetData>
    <row r="1">
      <c r="A1" s="286" t="s">
        <v>1021</v>
      </c>
      <c r="B1" s="286" t="s">
        <v>1022</v>
      </c>
      <c r="C1" s="286" t="s">
        <v>1023</v>
      </c>
      <c r="D1" s="286" t="s">
        <v>1024</v>
      </c>
      <c r="E1" s="286" t="s">
        <v>1025</v>
      </c>
      <c r="F1" s="287"/>
    </row>
    <row r="2">
      <c r="A2" s="288" t="s">
        <v>1026</v>
      </c>
      <c r="B2" s="288" t="s">
        <v>1027</v>
      </c>
      <c r="C2" s="288" t="s">
        <v>1028</v>
      </c>
      <c r="D2" s="288" t="s">
        <v>1029</v>
      </c>
      <c r="E2" s="288" t="s">
        <v>1030</v>
      </c>
      <c r="F2" s="6"/>
    </row>
    <row r="3">
      <c r="A3" s="72" t="s">
        <v>1031</v>
      </c>
      <c r="B3" s="101" t="s">
        <v>1032</v>
      </c>
      <c r="C3" s="101" t="s">
        <v>1033</v>
      </c>
      <c r="D3" s="101" t="s">
        <v>1034</v>
      </c>
      <c r="E3" s="101" t="s">
        <v>1035</v>
      </c>
      <c r="F3" s="289"/>
    </row>
    <row r="4">
      <c r="A4" s="288" t="s">
        <v>1036</v>
      </c>
      <c r="B4" s="288" t="s">
        <v>1037</v>
      </c>
      <c r="C4" s="288" t="s">
        <v>1038</v>
      </c>
      <c r="D4" s="288">
        <v>9.953404151E9</v>
      </c>
      <c r="E4" s="288" t="s">
        <v>1039</v>
      </c>
      <c r="F4" s="6"/>
    </row>
    <row r="5">
      <c r="A5" s="101" t="s">
        <v>1040</v>
      </c>
      <c r="B5" s="101" t="s">
        <v>1041</v>
      </c>
      <c r="C5" s="101" t="s">
        <v>1042</v>
      </c>
      <c r="D5" s="101">
        <v>9.891558868E9</v>
      </c>
      <c r="E5" s="101" t="s">
        <v>1043</v>
      </c>
      <c r="F5" s="289"/>
    </row>
    <row r="6">
      <c r="A6" s="288" t="s">
        <v>1044</v>
      </c>
      <c r="B6" s="288" t="s">
        <v>1045</v>
      </c>
      <c r="C6" s="288" t="s">
        <v>1046</v>
      </c>
      <c r="D6" s="288">
        <v>9.084439963E9</v>
      </c>
      <c r="E6" s="288" t="s">
        <v>1047</v>
      </c>
      <c r="F6" s="6"/>
    </row>
    <row r="7">
      <c r="A7" s="101" t="s">
        <v>1048</v>
      </c>
      <c r="B7" s="101" t="s">
        <v>1049</v>
      </c>
      <c r="C7" s="101" t="s">
        <v>1050</v>
      </c>
      <c r="D7" s="101">
        <v>9.71807749E9</v>
      </c>
      <c r="E7" s="101" t="s">
        <v>1047</v>
      </c>
      <c r="F7" s="289"/>
    </row>
    <row r="8">
      <c r="A8" s="288" t="s">
        <v>1051</v>
      </c>
      <c r="B8" s="288" t="s">
        <v>1052</v>
      </c>
      <c r="C8" s="6"/>
      <c r="D8" s="288">
        <v>9.971994421E9</v>
      </c>
      <c r="E8" s="6"/>
      <c r="F8" s="6"/>
    </row>
    <row r="9">
      <c r="A9" s="101" t="s">
        <v>1053</v>
      </c>
      <c r="B9" s="101" t="s">
        <v>1054</v>
      </c>
      <c r="C9" s="101" t="s">
        <v>1055</v>
      </c>
      <c r="D9" s="101" t="s">
        <v>1056</v>
      </c>
      <c r="E9" s="101" t="s">
        <v>1035</v>
      </c>
      <c r="F9" s="289"/>
    </row>
    <row r="10">
      <c r="A10" s="288" t="s">
        <v>1057</v>
      </c>
      <c r="B10" s="288" t="s">
        <v>1058</v>
      </c>
      <c r="C10" s="6"/>
      <c r="D10" s="6"/>
      <c r="E10" s="6"/>
      <c r="F10" s="6"/>
    </row>
    <row r="11">
      <c r="A11" s="101" t="s">
        <v>1059</v>
      </c>
      <c r="B11" s="101" t="s">
        <v>1060</v>
      </c>
      <c r="C11" s="101" t="s">
        <v>1061</v>
      </c>
      <c r="D11" s="101">
        <v>8.130734347E9</v>
      </c>
      <c r="E11" s="101" t="s">
        <v>1047</v>
      </c>
      <c r="F11" s="289"/>
    </row>
    <row r="12">
      <c r="A12" s="288" t="s">
        <v>1062</v>
      </c>
      <c r="B12" s="288" t="s">
        <v>1063</v>
      </c>
      <c r="C12" s="288" t="s">
        <v>1064</v>
      </c>
      <c r="D12" s="288">
        <v>9.015066438E9</v>
      </c>
      <c r="E12" s="288" t="s">
        <v>1035</v>
      </c>
      <c r="F12" s="6"/>
    </row>
    <row r="13">
      <c r="A13" s="101" t="s">
        <v>1065</v>
      </c>
      <c r="B13" s="101" t="s">
        <v>1066</v>
      </c>
      <c r="C13" s="101" t="s">
        <v>1067</v>
      </c>
      <c r="D13" s="101">
        <v>9.35057484E9</v>
      </c>
      <c r="E13" s="101" t="s">
        <v>1030</v>
      </c>
      <c r="F13" s="289"/>
    </row>
    <row r="14">
      <c r="A14" s="288" t="s">
        <v>1068</v>
      </c>
      <c r="B14" s="288" t="s">
        <v>1069</v>
      </c>
      <c r="C14" s="288" t="s">
        <v>1070</v>
      </c>
      <c r="D14" s="288">
        <v>9.310062725E9</v>
      </c>
      <c r="E14" s="288" t="s">
        <v>1030</v>
      </c>
      <c r="F14" s="6"/>
    </row>
    <row r="15">
      <c r="A15" s="101" t="s">
        <v>1071</v>
      </c>
      <c r="B15" s="101" t="s">
        <v>1072</v>
      </c>
      <c r="C15" s="289"/>
      <c r="D15" s="289"/>
      <c r="E15" s="101" t="s">
        <v>1073</v>
      </c>
      <c r="F15" s="289"/>
    </row>
    <row r="16">
      <c r="A16" s="288" t="s">
        <v>1074</v>
      </c>
      <c r="B16" s="288" t="s">
        <v>1075</v>
      </c>
      <c r="C16" s="6"/>
      <c r="D16" s="6"/>
      <c r="E16" s="6"/>
      <c r="F16" s="6"/>
    </row>
    <row r="17">
      <c r="A17" s="101" t="s">
        <v>1076</v>
      </c>
      <c r="B17" s="101" t="s">
        <v>1077</v>
      </c>
      <c r="C17" s="101" t="s">
        <v>1078</v>
      </c>
      <c r="D17" s="101">
        <v>9.81200461E9</v>
      </c>
      <c r="E17" s="101" t="s">
        <v>1079</v>
      </c>
      <c r="F17" s="289"/>
    </row>
    <row r="18">
      <c r="A18" s="288" t="s">
        <v>1080</v>
      </c>
      <c r="B18" s="288" t="s">
        <v>1081</v>
      </c>
      <c r="C18" s="288" t="s">
        <v>1082</v>
      </c>
      <c r="D18" s="288">
        <v>9.310008148E9</v>
      </c>
      <c r="E18" s="288" t="s">
        <v>1083</v>
      </c>
      <c r="F18" s="6"/>
    </row>
    <row r="19">
      <c r="A19" s="101" t="s">
        <v>1084</v>
      </c>
      <c r="B19" s="290" t="s">
        <v>1085</v>
      </c>
      <c r="C19" s="101" t="s">
        <v>1086</v>
      </c>
      <c r="D19" s="101" t="s">
        <v>1087</v>
      </c>
      <c r="E19" s="101" t="s">
        <v>1088</v>
      </c>
      <c r="F19" s="289"/>
    </row>
    <row r="20">
      <c r="A20" s="288" t="s">
        <v>1089</v>
      </c>
      <c r="B20" s="288" t="s">
        <v>1090</v>
      </c>
      <c r="C20" s="288" t="s">
        <v>1091</v>
      </c>
      <c r="D20" s="288">
        <v>9.953570545E9</v>
      </c>
      <c r="E20" s="288" t="s">
        <v>1043</v>
      </c>
      <c r="F20" s="6"/>
    </row>
    <row r="21">
      <c r="A21" s="101" t="s">
        <v>1092</v>
      </c>
      <c r="B21" s="101" t="s">
        <v>1093</v>
      </c>
      <c r="C21" s="101" t="s">
        <v>1094</v>
      </c>
      <c r="D21" s="101">
        <v>8.144464136E9</v>
      </c>
      <c r="E21" s="101" t="s">
        <v>1095</v>
      </c>
      <c r="F21" s="289"/>
    </row>
    <row r="22">
      <c r="A22" s="288" t="s">
        <v>1096</v>
      </c>
      <c r="B22" s="288" t="s">
        <v>1097</v>
      </c>
      <c r="C22" s="288" t="s">
        <v>1098</v>
      </c>
      <c r="D22" s="288">
        <v>9.467087096E9</v>
      </c>
      <c r="E22" s="288" t="s">
        <v>1099</v>
      </c>
      <c r="F22" s="6"/>
    </row>
    <row r="23">
      <c r="A23" s="101" t="s">
        <v>1100</v>
      </c>
      <c r="B23" s="101" t="s">
        <v>1101</v>
      </c>
      <c r="C23" s="101" t="s">
        <v>1102</v>
      </c>
      <c r="D23" s="101">
        <v>9.582500022E9</v>
      </c>
      <c r="E23" s="101" t="s">
        <v>1083</v>
      </c>
      <c r="F23" s="289"/>
    </row>
    <row r="24">
      <c r="A24" s="291" t="s">
        <v>1103</v>
      </c>
      <c r="B24" s="291" t="s">
        <v>1104</v>
      </c>
      <c r="C24" s="288" t="s">
        <v>1105</v>
      </c>
      <c r="D24" s="288">
        <v>9.812052416E9</v>
      </c>
      <c r="E24" s="288" t="s">
        <v>1035</v>
      </c>
      <c r="F24" s="6"/>
    </row>
    <row r="25">
      <c r="A25" s="101" t="s">
        <v>1106</v>
      </c>
      <c r="B25" s="101" t="s">
        <v>1107</v>
      </c>
      <c r="C25" s="101" t="s">
        <v>1108</v>
      </c>
      <c r="D25" s="101">
        <v>8.929606722E9</v>
      </c>
      <c r="E25" s="101" t="s">
        <v>1083</v>
      </c>
      <c r="F25" s="289"/>
    </row>
    <row r="26">
      <c r="A26" s="288" t="s">
        <v>1109</v>
      </c>
      <c r="B26" s="288" t="s">
        <v>1110</v>
      </c>
      <c r="C26" s="288" t="s">
        <v>1111</v>
      </c>
      <c r="D26" s="288">
        <v>7.027753198E9</v>
      </c>
      <c r="E26" s="288" t="s">
        <v>1035</v>
      </c>
      <c r="F26" s="6"/>
    </row>
    <row r="27">
      <c r="A27" s="101" t="s">
        <v>1112</v>
      </c>
      <c r="B27" s="101" t="s">
        <v>1113</v>
      </c>
      <c r="C27" s="101" t="s">
        <v>1114</v>
      </c>
      <c r="D27" s="101" t="s">
        <v>1115</v>
      </c>
      <c r="E27" s="101" t="s">
        <v>1043</v>
      </c>
      <c r="F27" s="289"/>
    </row>
    <row r="28">
      <c r="A28" s="288" t="s">
        <v>1116</v>
      </c>
      <c r="B28" s="288" t="s">
        <v>1117</v>
      </c>
      <c r="C28" s="288" t="s">
        <v>1118</v>
      </c>
      <c r="D28" s="288" t="s">
        <v>1119</v>
      </c>
      <c r="E28" s="288" t="s">
        <v>1120</v>
      </c>
      <c r="F28" s="6"/>
    </row>
    <row r="29">
      <c r="A29" s="101" t="s">
        <v>1121</v>
      </c>
      <c r="B29" s="101" t="s">
        <v>1122</v>
      </c>
      <c r="C29" s="101" t="s">
        <v>1123</v>
      </c>
      <c r="D29" s="101">
        <v>9.541035119E9</v>
      </c>
      <c r="E29" s="101" t="s">
        <v>1083</v>
      </c>
      <c r="F29" s="289"/>
    </row>
    <row r="30">
      <c r="A30" s="288" t="s">
        <v>1124</v>
      </c>
      <c r="B30" s="288" t="s">
        <v>1125</v>
      </c>
      <c r="C30" s="288" t="s">
        <v>1126</v>
      </c>
      <c r="D30" s="288">
        <v>7.005112874E9</v>
      </c>
      <c r="E30" s="288" t="s">
        <v>1043</v>
      </c>
      <c r="F30" s="6"/>
    </row>
    <row r="31">
      <c r="A31" s="101" t="s">
        <v>1127</v>
      </c>
      <c r="B31" s="101" t="s">
        <v>1128</v>
      </c>
      <c r="C31" s="101" t="s">
        <v>1129</v>
      </c>
      <c r="D31" s="101">
        <v>9.81219225E9</v>
      </c>
      <c r="E31" s="101" t="s">
        <v>1083</v>
      </c>
      <c r="F31" s="289"/>
    </row>
    <row r="32">
      <c r="A32" s="288" t="s">
        <v>1130</v>
      </c>
      <c r="B32" s="288" t="s">
        <v>1131</v>
      </c>
      <c r="C32" s="288" t="s">
        <v>1132</v>
      </c>
      <c r="D32" s="288">
        <v>9.5885671E9</v>
      </c>
      <c r="E32" s="6"/>
      <c r="F32" s="6"/>
    </row>
    <row r="33">
      <c r="A33" s="101" t="s">
        <v>1133</v>
      </c>
      <c r="B33" s="101" t="s">
        <v>1134</v>
      </c>
      <c r="C33" s="101" t="s">
        <v>1135</v>
      </c>
      <c r="D33" s="101">
        <v>9.8888534E9</v>
      </c>
      <c r="E33" s="101" t="s">
        <v>1136</v>
      </c>
      <c r="F33" s="289"/>
    </row>
    <row r="34">
      <c r="A34" s="288" t="s">
        <v>1137</v>
      </c>
      <c r="B34" s="288" t="s">
        <v>1138</v>
      </c>
      <c r="C34" s="288" t="s">
        <v>1139</v>
      </c>
      <c r="D34" s="288">
        <v>8.468810142E9</v>
      </c>
      <c r="E34" s="288" t="s">
        <v>1140</v>
      </c>
      <c r="F34" s="6"/>
    </row>
    <row r="35">
      <c r="A35" s="101" t="s">
        <v>1141</v>
      </c>
      <c r="B35" s="101" t="s">
        <v>1142</v>
      </c>
      <c r="C35" s="101" t="s">
        <v>1143</v>
      </c>
      <c r="D35" s="101" t="s">
        <v>1144</v>
      </c>
      <c r="E35" s="101" t="s">
        <v>1145</v>
      </c>
      <c r="F35" s="289"/>
    </row>
    <row r="36">
      <c r="A36" s="288" t="s">
        <v>1146</v>
      </c>
      <c r="B36" s="288" t="s">
        <v>1147</v>
      </c>
      <c r="C36" s="288" t="s">
        <v>1148</v>
      </c>
      <c r="D36" s="288" t="s">
        <v>1149</v>
      </c>
      <c r="E36" s="288" t="s">
        <v>1150</v>
      </c>
      <c r="F36" s="6"/>
    </row>
    <row r="37">
      <c r="A37" s="101" t="s">
        <v>1151</v>
      </c>
      <c r="B37" s="101" t="s">
        <v>1152</v>
      </c>
      <c r="C37" s="101" t="s">
        <v>1153</v>
      </c>
      <c r="D37" s="101">
        <v>9.671198982E9</v>
      </c>
      <c r="E37" s="101" t="s">
        <v>1083</v>
      </c>
      <c r="F37" s="289"/>
    </row>
    <row r="38">
      <c r="A38" s="288" t="s">
        <v>412</v>
      </c>
      <c r="B38" s="288" t="s">
        <v>1154</v>
      </c>
      <c r="C38" s="288" t="s">
        <v>1155</v>
      </c>
      <c r="D38" s="288" t="s">
        <v>1156</v>
      </c>
      <c r="E38" s="288" t="s">
        <v>1088</v>
      </c>
      <c r="F38" s="6"/>
    </row>
    <row r="39">
      <c r="A39" s="101" t="s">
        <v>1157</v>
      </c>
      <c r="B39" s="101" t="s">
        <v>1158</v>
      </c>
      <c r="C39" s="101" t="s">
        <v>1159</v>
      </c>
      <c r="D39" s="101" t="s">
        <v>1160</v>
      </c>
      <c r="E39" s="101" t="s">
        <v>1145</v>
      </c>
      <c r="F39" s="289"/>
    </row>
    <row r="40">
      <c r="A40" s="288" t="s">
        <v>179</v>
      </c>
      <c r="B40" s="288" t="s">
        <v>1161</v>
      </c>
      <c r="C40" s="288" t="s">
        <v>1162</v>
      </c>
      <c r="D40" s="288" t="s">
        <v>1163</v>
      </c>
      <c r="E40" s="288" t="s">
        <v>1035</v>
      </c>
      <c r="F40" s="6"/>
    </row>
    <row r="41">
      <c r="A41" s="101" t="s">
        <v>1164</v>
      </c>
      <c r="B41" s="101" t="s">
        <v>1165</v>
      </c>
      <c r="C41" s="101" t="s">
        <v>1166</v>
      </c>
      <c r="D41" s="101">
        <v>9.555513771E9</v>
      </c>
      <c r="E41" s="101" t="s">
        <v>1083</v>
      </c>
      <c r="F41" s="289"/>
    </row>
    <row r="42">
      <c r="A42" s="288" t="s">
        <v>1167</v>
      </c>
      <c r="B42" s="288" t="s">
        <v>1168</v>
      </c>
      <c r="C42" s="288" t="s">
        <v>1098</v>
      </c>
      <c r="D42" s="288">
        <v>9.467087096E9</v>
      </c>
      <c r="E42" s="288" t="s">
        <v>1169</v>
      </c>
      <c r="F42" s="6"/>
    </row>
    <row r="43">
      <c r="A43" s="101" t="s">
        <v>1170</v>
      </c>
      <c r="B43" s="101" t="s">
        <v>1171</v>
      </c>
      <c r="C43" s="101" t="s">
        <v>1172</v>
      </c>
      <c r="D43" s="101">
        <v>9.716832625E9</v>
      </c>
      <c r="E43" s="101" t="s">
        <v>1047</v>
      </c>
      <c r="F43" s="289"/>
    </row>
    <row r="44">
      <c r="A44" s="288" t="s">
        <v>1173</v>
      </c>
      <c r="B44" s="288" t="s">
        <v>1174</v>
      </c>
      <c r="C44" s="288" t="s">
        <v>1098</v>
      </c>
      <c r="D44" s="288">
        <v>9.467087096E9</v>
      </c>
      <c r="E44" s="288" t="s">
        <v>1169</v>
      </c>
      <c r="F44" s="6"/>
    </row>
    <row r="45">
      <c r="A45" s="101" t="s">
        <v>1175</v>
      </c>
      <c r="B45" s="101" t="s">
        <v>1176</v>
      </c>
      <c r="C45" s="101" t="s">
        <v>1177</v>
      </c>
      <c r="D45" s="101">
        <v>9.0450763E9</v>
      </c>
      <c r="E45" s="101" t="s">
        <v>1035</v>
      </c>
      <c r="F45" s="289"/>
    </row>
    <row r="46">
      <c r="A46" s="288" t="s">
        <v>1178</v>
      </c>
      <c r="B46" s="288" t="s">
        <v>1179</v>
      </c>
      <c r="C46" s="288" t="s">
        <v>1180</v>
      </c>
      <c r="D46" s="288">
        <v>8.400236267E9</v>
      </c>
      <c r="E46" s="288" t="s">
        <v>1030</v>
      </c>
      <c r="F46" s="6"/>
    </row>
    <row r="47">
      <c r="A47" s="101" t="s">
        <v>1181</v>
      </c>
      <c r="B47" s="101" t="s">
        <v>1182</v>
      </c>
      <c r="C47" s="101" t="s">
        <v>1183</v>
      </c>
      <c r="D47" s="101">
        <v>9.812029515E9</v>
      </c>
      <c r="E47" s="101" t="s">
        <v>1083</v>
      </c>
      <c r="F47" s="289"/>
    </row>
    <row r="48">
      <c r="A48" s="288" t="s">
        <v>1184</v>
      </c>
      <c r="B48" s="288" t="s">
        <v>1185</v>
      </c>
      <c r="C48" s="288" t="s">
        <v>1186</v>
      </c>
      <c r="D48" s="288">
        <v>8.210605413E9</v>
      </c>
      <c r="E48" s="288" t="s">
        <v>1187</v>
      </c>
      <c r="F48" s="6"/>
    </row>
    <row r="49">
      <c r="A49" s="101" t="s">
        <v>1188</v>
      </c>
      <c r="B49" s="101" t="s">
        <v>1189</v>
      </c>
      <c r="C49" s="101" t="s">
        <v>1190</v>
      </c>
      <c r="D49" s="101">
        <v>9.59958839E9</v>
      </c>
      <c r="E49" s="101" t="s">
        <v>1035</v>
      </c>
      <c r="F49" s="289"/>
    </row>
    <row r="50">
      <c r="A50" s="288" t="s">
        <v>1191</v>
      </c>
      <c r="B50" s="288" t="s">
        <v>1192</v>
      </c>
      <c r="C50" s="288" t="s">
        <v>1193</v>
      </c>
      <c r="D50" s="288">
        <v>7.496012008E9</v>
      </c>
      <c r="E50" s="288" t="s">
        <v>1030</v>
      </c>
      <c r="F50" s="6"/>
    </row>
    <row r="51">
      <c r="A51" s="101" t="s">
        <v>1194</v>
      </c>
      <c r="B51" s="101" t="s">
        <v>1195</v>
      </c>
      <c r="C51" s="101" t="s">
        <v>1196</v>
      </c>
      <c r="D51" s="101">
        <v>9.311378571E9</v>
      </c>
      <c r="E51" s="101" t="s">
        <v>1035</v>
      </c>
      <c r="F51" s="289"/>
    </row>
    <row r="52">
      <c r="A52" s="288" t="s">
        <v>1197</v>
      </c>
      <c r="B52" s="288" t="s">
        <v>1198</v>
      </c>
      <c r="C52" s="288" t="s">
        <v>1199</v>
      </c>
      <c r="D52" s="288" t="s">
        <v>1200</v>
      </c>
      <c r="E52" s="288" t="s">
        <v>1035</v>
      </c>
      <c r="F52" s="6"/>
    </row>
  </sheetData>
  <autoFilter ref="$A$1:$Z$52">
    <sortState ref="A1:Z52">
      <sortCondition ref="A1:A5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0"/>
  </cols>
  <sheetData>
    <row r="1">
      <c r="A1" s="161" t="s">
        <v>1201</v>
      </c>
      <c r="B1" s="292"/>
      <c r="C1" s="292"/>
    </row>
    <row r="2">
      <c r="A2" s="293" t="s">
        <v>1202</v>
      </c>
      <c r="B2" s="293" t="s">
        <v>1203</v>
      </c>
      <c r="C2" s="293" t="s">
        <v>1204</v>
      </c>
    </row>
    <row r="3">
      <c r="A3" s="74" t="s">
        <v>551</v>
      </c>
      <c r="B3" s="151" t="s">
        <v>141</v>
      </c>
      <c r="C3" s="283">
        <v>150.0</v>
      </c>
    </row>
    <row r="4">
      <c r="A4" s="74" t="s">
        <v>552</v>
      </c>
      <c r="B4" s="63" t="s">
        <v>131</v>
      </c>
      <c r="C4" s="156">
        <v>150.0</v>
      </c>
    </row>
    <row r="5">
      <c r="A5" s="74" t="s">
        <v>215</v>
      </c>
      <c r="B5" s="151" t="s">
        <v>141</v>
      </c>
      <c r="C5" s="283">
        <v>150.0</v>
      </c>
    </row>
    <row r="6">
      <c r="A6" s="74" t="s">
        <v>557</v>
      </c>
      <c r="B6" s="283" t="s">
        <v>41</v>
      </c>
      <c r="C6" s="283">
        <v>150.0</v>
      </c>
    </row>
    <row r="7">
      <c r="A7" s="294"/>
      <c r="B7" s="295"/>
      <c r="C7" s="295">
        <f>SUM(C3:C6)</f>
        <v>600</v>
      </c>
    </row>
    <row r="9">
      <c r="A9" s="161" t="s">
        <v>1205</v>
      </c>
      <c r="B9" s="292"/>
      <c r="C9" s="292"/>
    </row>
    <row r="10">
      <c r="A10" s="293" t="s">
        <v>1202</v>
      </c>
      <c r="B10" s="293" t="s">
        <v>1203</v>
      </c>
      <c r="C10" s="293" t="s">
        <v>1204</v>
      </c>
    </row>
    <row r="11">
      <c r="A11" s="74" t="s">
        <v>94</v>
      </c>
      <c r="B11" s="157" t="s">
        <v>51</v>
      </c>
      <c r="C11" s="158">
        <v>150.0</v>
      </c>
    </row>
    <row r="12">
      <c r="A12" s="47" t="s">
        <v>560</v>
      </c>
      <c r="B12" s="283" t="s">
        <v>137</v>
      </c>
      <c r="C12" s="283">
        <v>150.0</v>
      </c>
    </row>
    <row r="13">
      <c r="A13" s="74" t="s">
        <v>561</v>
      </c>
      <c r="B13" s="157" t="s">
        <v>51</v>
      </c>
      <c r="C13" s="158">
        <v>150.0</v>
      </c>
    </row>
    <row r="14">
      <c r="A14" s="74" t="s">
        <v>389</v>
      </c>
      <c r="B14" s="157" t="s">
        <v>51</v>
      </c>
      <c r="C14" s="158">
        <v>150.0</v>
      </c>
    </row>
    <row r="15">
      <c r="A15" s="74" t="s">
        <v>136</v>
      </c>
      <c r="B15" s="283" t="s">
        <v>137</v>
      </c>
      <c r="C15" s="283">
        <v>150.0</v>
      </c>
    </row>
    <row r="16">
      <c r="A16" s="294"/>
      <c r="B16" s="295"/>
      <c r="C16" s="295">
        <f>SUM(C11:C15)</f>
        <v>750</v>
      </c>
    </row>
    <row r="17">
      <c r="A17" s="161" t="s">
        <v>1206</v>
      </c>
      <c r="B17" s="292"/>
      <c r="C17" s="292"/>
    </row>
    <row r="18">
      <c r="A18" s="293" t="s">
        <v>1202</v>
      </c>
      <c r="B18" s="293" t="s">
        <v>1203</v>
      </c>
      <c r="C18" s="293" t="s">
        <v>1204</v>
      </c>
    </row>
    <row r="19">
      <c r="A19" s="74" t="s">
        <v>569</v>
      </c>
      <c r="B19" s="151" t="s">
        <v>141</v>
      </c>
      <c r="C19" s="296">
        <v>150.0</v>
      </c>
    </row>
    <row r="20">
      <c r="A20" s="167" t="s">
        <v>571</v>
      </c>
      <c r="B20" s="63" t="s">
        <v>41</v>
      </c>
      <c r="C20" s="296">
        <v>150.0</v>
      </c>
    </row>
    <row r="21">
      <c r="A21" s="167" t="s">
        <v>215</v>
      </c>
      <c r="B21" s="151" t="s">
        <v>141</v>
      </c>
      <c r="C21" s="296">
        <v>150.0</v>
      </c>
    </row>
    <row r="22">
      <c r="A22" s="297"/>
      <c r="B22" s="151"/>
      <c r="C22" s="298">
        <f>SUM(C19:C21)</f>
        <v>450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6.38"/>
    <col customWidth="1" min="3" max="3" width="84.0"/>
    <col customWidth="1" min="4" max="4" width="14.75"/>
    <col customWidth="1" min="5" max="5" width="16.5"/>
    <col customWidth="1" min="6" max="6" width="18.63"/>
    <col customWidth="1" min="7" max="7" width="16.75"/>
    <col customWidth="1" min="8" max="8" width="18.0"/>
  </cols>
  <sheetData>
    <row r="2" ht="40.5" customHeight="1">
      <c r="A2" s="299" t="s">
        <v>1</v>
      </c>
      <c r="B2" s="300" t="s">
        <v>2</v>
      </c>
      <c r="C2" s="300" t="s">
        <v>3</v>
      </c>
      <c r="D2" s="301" t="s">
        <v>1207</v>
      </c>
      <c r="E2" s="301" t="s">
        <v>8</v>
      </c>
      <c r="F2" s="301" t="s">
        <v>1208</v>
      </c>
      <c r="G2" s="301" t="s">
        <v>1209</v>
      </c>
      <c r="H2" s="301" t="s">
        <v>1210</v>
      </c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</row>
    <row r="3">
      <c r="A3" s="49" t="s">
        <v>524</v>
      </c>
      <c r="B3" s="49" t="s">
        <v>168</v>
      </c>
      <c r="C3" s="49" t="s">
        <v>169</v>
      </c>
      <c r="D3" s="68">
        <v>6195.0</v>
      </c>
      <c r="E3" s="303">
        <v>6176.0</v>
      </c>
      <c r="F3" s="304"/>
      <c r="G3" s="304"/>
      <c r="H3" s="304"/>
    </row>
    <row r="4">
      <c r="A4" s="121">
        <v>46117.0</v>
      </c>
      <c r="B4" s="49" t="s">
        <v>168</v>
      </c>
      <c r="C4" s="49" t="s">
        <v>169</v>
      </c>
      <c r="D4" s="68">
        <v>3000.0</v>
      </c>
      <c r="E4" s="303">
        <v>6176.0</v>
      </c>
      <c r="F4" s="304"/>
      <c r="G4" s="304"/>
      <c r="H4" s="304"/>
    </row>
    <row r="5">
      <c r="A5" s="83">
        <v>46178.0</v>
      </c>
      <c r="B5" s="83" t="s">
        <v>168</v>
      </c>
      <c r="C5" s="83" t="s">
        <v>169</v>
      </c>
      <c r="D5" s="79">
        <v>1000.0</v>
      </c>
      <c r="E5" s="303">
        <v>6176.0</v>
      </c>
      <c r="F5" s="304"/>
      <c r="G5" s="304"/>
      <c r="H5" s="304"/>
    </row>
    <row r="6">
      <c r="E6" s="305"/>
    </row>
    <row r="7">
      <c r="E7" s="305"/>
    </row>
    <row r="8">
      <c r="E8" s="305"/>
    </row>
    <row r="9">
      <c r="E9" s="305"/>
    </row>
    <row r="10">
      <c r="E10" s="305"/>
    </row>
    <row r="11">
      <c r="E11" s="305"/>
    </row>
    <row r="12">
      <c r="E12" s="305"/>
    </row>
    <row r="13">
      <c r="E13" s="305"/>
    </row>
    <row r="14">
      <c r="E14" s="30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88"/>
  </cols>
  <sheetData>
    <row r="2">
      <c r="A2" s="306" t="s">
        <v>1</v>
      </c>
      <c r="B2" s="306" t="s">
        <v>5</v>
      </c>
      <c r="C2" s="306" t="s">
        <v>1211</v>
      </c>
      <c r="D2" s="306" t="s">
        <v>1212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0" t="s">
        <v>23</v>
      </c>
      <c r="B3" s="20">
        <v>6.26030604E8</v>
      </c>
      <c r="C3" s="20" t="s">
        <v>47</v>
      </c>
      <c r="D3" s="307">
        <v>11996.0</v>
      </c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</row>
    <row r="4">
      <c r="A4" s="20" t="s">
        <v>23</v>
      </c>
      <c r="B4" s="20">
        <v>6.26030606E8</v>
      </c>
      <c r="C4" s="20" t="s">
        <v>47</v>
      </c>
      <c r="D4" s="20">
        <v>55.0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</row>
    <row r="5">
      <c r="A5" s="20" t="s">
        <v>23</v>
      </c>
      <c r="B5" s="20">
        <v>6.26030613E8</v>
      </c>
      <c r="C5" s="20" t="s">
        <v>47</v>
      </c>
      <c r="D5" s="20">
        <v>49.0</v>
      </c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</row>
    <row r="6">
      <c r="A6" s="20" t="s">
        <v>23</v>
      </c>
      <c r="B6" s="20">
        <v>6.26030605E8</v>
      </c>
      <c r="C6" s="20" t="s">
        <v>18</v>
      </c>
      <c r="D6" s="307">
        <v>4080.0</v>
      </c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</row>
    <row r="7">
      <c r="A7" s="20" t="s">
        <v>23</v>
      </c>
      <c r="B7" s="20">
        <v>6.26030583E8</v>
      </c>
      <c r="C7" s="20" t="s">
        <v>36</v>
      </c>
      <c r="D7" s="307">
        <v>8148.0</v>
      </c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</row>
    <row r="8">
      <c r="A8" s="20" t="s">
        <v>23</v>
      </c>
      <c r="B8" s="20">
        <v>6.26030607E8</v>
      </c>
      <c r="C8" s="20" t="s">
        <v>57</v>
      </c>
      <c r="D8" s="307">
        <v>10835.0</v>
      </c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9"/>
      <c r="U8" s="309"/>
      <c r="V8" s="309"/>
      <c r="W8" s="309"/>
      <c r="X8" s="309"/>
      <c r="Y8" s="309"/>
      <c r="Z8" s="309"/>
    </row>
    <row r="9">
      <c r="A9" s="20" t="s">
        <v>23</v>
      </c>
      <c r="B9" s="20">
        <v>6.26030608E8</v>
      </c>
      <c r="C9" s="20" t="s">
        <v>57</v>
      </c>
      <c r="D9" s="20">
        <v>45.0</v>
      </c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9"/>
      <c r="U9" s="309"/>
      <c r="V9" s="309"/>
      <c r="W9" s="309"/>
      <c r="X9" s="309"/>
      <c r="Y9" s="309"/>
      <c r="Z9" s="309"/>
    </row>
    <row r="10">
      <c r="A10" s="20" t="s">
        <v>23</v>
      </c>
      <c r="B10" s="20">
        <v>6.26030611E8</v>
      </c>
      <c r="C10" s="20" t="s">
        <v>57</v>
      </c>
      <c r="D10" s="20">
        <v>182.0</v>
      </c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9"/>
      <c r="U10" s="309"/>
      <c r="V10" s="309"/>
      <c r="W10" s="309"/>
      <c r="X10" s="309"/>
      <c r="Y10" s="309"/>
      <c r="Z10" s="309"/>
    </row>
    <row r="11">
      <c r="A11" s="20" t="s">
        <v>23</v>
      </c>
      <c r="B11" s="20">
        <v>6.26030609E8</v>
      </c>
      <c r="C11" s="20" t="s">
        <v>105</v>
      </c>
      <c r="D11" s="307">
        <v>5271.0</v>
      </c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9"/>
      <c r="U11" s="309"/>
      <c r="V11" s="309"/>
      <c r="W11" s="309"/>
      <c r="X11" s="309"/>
      <c r="Y11" s="309"/>
      <c r="Z11" s="309"/>
    </row>
    <row r="12">
      <c r="A12" s="20" t="s">
        <v>23</v>
      </c>
      <c r="B12" s="20">
        <v>6.2603063E8</v>
      </c>
      <c r="C12" s="20" t="s">
        <v>101</v>
      </c>
      <c r="D12" s="307">
        <v>10500.0</v>
      </c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9"/>
      <c r="U12" s="309"/>
      <c r="V12" s="309"/>
      <c r="W12" s="309"/>
      <c r="X12" s="309"/>
      <c r="Y12" s="309"/>
      <c r="Z12" s="309"/>
    </row>
    <row r="13">
      <c r="A13" s="20" t="s">
        <v>23</v>
      </c>
      <c r="B13" s="20">
        <v>6.26030596E8</v>
      </c>
      <c r="C13" s="20" t="s">
        <v>42</v>
      </c>
      <c r="D13" s="307">
        <v>11010.0</v>
      </c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9"/>
      <c r="U13" s="309"/>
      <c r="V13" s="309"/>
      <c r="W13" s="309"/>
      <c r="X13" s="309"/>
      <c r="Y13" s="309"/>
      <c r="Z13" s="309"/>
    </row>
    <row r="14">
      <c r="A14" s="20" t="s">
        <v>23</v>
      </c>
      <c r="B14" s="20">
        <v>6.26030617E8</v>
      </c>
      <c r="C14" s="20" t="s">
        <v>52</v>
      </c>
      <c r="D14" s="307">
        <v>8030.0</v>
      </c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9"/>
      <c r="U14" s="309"/>
      <c r="V14" s="309"/>
      <c r="W14" s="309"/>
      <c r="X14" s="309"/>
      <c r="Y14" s="309"/>
      <c r="Z14" s="309"/>
    </row>
    <row r="15">
      <c r="A15" s="20" t="s">
        <v>23</v>
      </c>
      <c r="B15" s="20">
        <v>6.26030621E8</v>
      </c>
      <c r="C15" s="20" t="s">
        <v>115</v>
      </c>
      <c r="D15" s="307">
        <v>1300.0</v>
      </c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9"/>
      <c r="U15" s="309"/>
      <c r="V15" s="309"/>
      <c r="W15" s="309"/>
      <c r="X15" s="309"/>
      <c r="Y15" s="309"/>
      <c r="Z15" s="309"/>
    </row>
    <row r="16">
      <c r="A16" s="20" t="s">
        <v>23</v>
      </c>
      <c r="B16" s="20">
        <v>6.26030636E8</v>
      </c>
      <c r="C16" s="20" t="s">
        <v>125</v>
      </c>
      <c r="D16" s="307">
        <v>10100.0</v>
      </c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9"/>
      <c r="U16" s="309"/>
      <c r="V16" s="309"/>
      <c r="W16" s="309"/>
      <c r="X16" s="309"/>
      <c r="Y16" s="309"/>
      <c r="Z16" s="309"/>
    </row>
    <row r="17">
      <c r="A17" s="20" t="s">
        <v>23</v>
      </c>
      <c r="B17" s="20">
        <v>6.26030646E8</v>
      </c>
      <c r="C17" s="20" t="s">
        <v>125</v>
      </c>
      <c r="D17" s="307">
        <v>5000.0</v>
      </c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9"/>
      <c r="U17" s="309"/>
      <c r="V17" s="309"/>
      <c r="W17" s="309"/>
      <c r="X17" s="309"/>
      <c r="Y17" s="309"/>
      <c r="Z17" s="309"/>
    </row>
    <row r="18">
      <c r="A18" s="20" t="s">
        <v>23</v>
      </c>
      <c r="B18" s="20">
        <v>6.26030663E8</v>
      </c>
      <c r="C18" s="20" t="s">
        <v>133</v>
      </c>
      <c r="D18" s="20">
        <v>6.0</v>
      </c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9"/>
      <c r="U18" s="309"/>
      <c r="V18" s="309"/>
      <c r="W18" s="309"/>
      <c r="X18" s="309"/>
      <c r="Y18" s="309"/>
      <c r="Z18" s="309"/>
    </row>
    <row r="19">
      <c r="A19" s="20" t="s">
        <v>23</v>
      </c>
      <c r="B19" s="20">
        <v>6.26030625E8</v>
      </c>
      <c r="C19" s="20" t="s">
        <v>187</v>
      </c>
      <c r="D19" s="307">
        <v>9700.0</v>
      </c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9"/>
      <c r="U19" s="309"/>
      <c r="V19" s="309"/>
      <c r="W19" s="309"/>
      <c r="X19" s="309"/>
      <c r="Y19" s="309"/>
      <c r="Z19" s="309"/>
    </row>
    <row r="20">
      <c r="A20" s="20" t="s">
        <v>23</v>
      </c>
      <c r="B20" s="20">
        <v>6.26030665E8</v>
      </c>
      <c r="C20" s="20" t="s">
        <v>187</v>
      </c>
      <c r="D20" s="307">
        <v>1100.0</v>
      </c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9"/>
      <c r="U20" s="309"/>
      <c r="V20" s="309"/>
      <c r="W20" s="309"/>
      <c r="X20" s="309"/>
      <c r="Y20" s="309"/>
      <c r="Z20" s="309"/>
    </row>
    <row r="21">
      <c r="A21" s="20" t="s">
        <v>23</v>
      </c>
      <c r="B21" s="20">
        <v>6.26030643E8</v>
      </c>
      <c r="C21" s="20" t="s">
        <v>18</v>
      </c>
      <c r="D21" s="307">
        <v>6964.0</v>
      </c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9"/>
      <c r="U21" s="309"/>
      <c r="V21" s="309"/>
      <c r="W21" s="309"/>
      <c r="X21" s="309"/>
      <c r="Y21" s="309"/>
      <c r="Z21" s="309"/>
    </row>
    <row r="22">
      <c r="A22" s="20" t="s">
        <v>23</v>
      </c>
      <c r="B22" s="20">
        <v>6.26030654E8</v>
      </c>
      <c r="C22" s="20" t="s">
        <v>204</v>
      </c>
      <c r="D22" s="307">
        <v>3660.0</v>
      </c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9"/>
      <c r="U22" s="309"/>
      <c r="V22" s="309"/>
      <c r="W22" s="309"/>
      <c r="X22" s="309"/>
      <c r="Y22" s="309"/>
      <c r="Z22" s="309"/>
    </row>
    <row r="23">
      <c r="A23" s="20" t="s">
        <v>23</v>
      </c>
      <c r="B23" s="20">
        <v>6.26030666E8</v>
      </c>
      <c r="C23" s="20" t="s">
        <v>204</v>
      </c>
      <c r="D23" s="20">
        <v>33.0</v>
      </c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9"/>
      <c r="U23" s="309"/>
      <c r="V23" s="309"/>
      <c r="W23" s="309"/>
      <c r="X23" s="309"/>
      <c r="Y23" s="309"/>
      <c r="Z23" s="309"/>
    </row>
    <row r="24">
      <c r="A24" s="20" t="s">
        <v>23</v>
      </c>
      <c r="B24" s="20">
        <v>6.26030632E8</v>
      </c>
      <c r="C24" s="20" t="s">
        <v>174</v>
      </c>
      <c r="D24" s="307">
        <v>15000.0</v>
      </c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9"/>
      <c r="U24" s="309"/>
      <c r="V24" s="309"/>
      <c r="W24" s="309"/>
      <c r="X24" s="309"/>
      <c r="Y24" s="309"/>
      <c r="Z24" s="309"/>
    </row>
    <row r="25">
      <c r="A25" s="20" t="s">
        <v>23</v>
      </c>
      <c r="B25" s="20">
        <v>6.26030627E8</v>
      </c>
      <c r="C25" s="20" t="s">
        <v>193</v>
      </c>
      <c r="D25" s="307">
        <v>13500.0</v>
      </c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9"/>
      <c r="U25" s="309"/>
      <c r="V25" s="309"/>
      <c r="W25" s="309"/>
      <c r="X25" s="309"/>
      <c r="Y25" s="309"/>
      <c r="Z25" s="309"/>
    </row>
    <row r="26">
      <c r="A26" s="20" t="s">
        <v>23</v>
      </c>
      <c r="B26" s="20">
        <v>6.26030664E8</v>
      </c>
      <c r="C26" s="20" t="s">
        <v>193</v>
      </c>
      <c r="D26" s="307">
        <v>1100.0</v>
      </c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9"/>
      <c r="U26" s="309"/>
      <c r="V26" s="309"/>
      <c r="W26" s="309"/>
      <c r="X26" s="309"/>
      <c r="Y26" s="309"/>
      <c r="Z26" s="309"/>
    </row>
    <row r="27">
      <c r="A27" s="20" t="s">
        <v>23</v>
      </c>
      <c r="B27" s="20">
        <v>6.26030637E8</v>
      </c>
      <c r="C27" s="20" t="s">
        <v>180</v>
      </c>
      <c r="D27" s="307">
        <v>8320.0</v>
      </c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9"/>
      <c r="U27" s="309"/>
      <c r="V27" s="309"/>
      <c r="W27" s="309"/>
      <c r="X27" s="309"/>
      <c r="Y27" s="309"/>
      <c r="Z27" s="309"/>
    </row>
    <row r="28">
      <c r="A28" s="20" t="s">
        <v>23</v>
      </c>
      <c r="B28" s="20">
        <v>6.26030616E8</v>
      </c>
      <c r="C28" s="20" t="s">
        <v>166</v>
      </c>
      <c r="D28" s="307">
        <v>8050.0</v>
      </c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9"/>
      <c r="U28" s="309"/>
      <c r="V28" s="309"/>
      <c r="W28" s="309"/>
      <c r="X28" s="309"/>
      <c r="Y28" s="309"/>
      <c r="Z28" s="309"/>
    </row>
    <row r="29">
      <c r="A29" s="20" t="s">
        <v>23</v>
      </c>
      <c r="B29" s="20">
        <v>6.2603062E8</v>
      </c>
      <c r="C29" s="20" t="s">
        <v>163</v>
      </c>
      <c r="D29" s="307">
        <v>4760.0</v>
      </c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9"/>
      <c r="U29" s="309"/>
      <c r="V29" s="309"/>
      <c r="W29" s="309"/>
      <c r="X29" s="309"/>
      <c r="Y29" s="309"/>
      <c r="Z29" s="309"/>
    </row>
    <row r="30">
      <c r="A30" s="20" t="s">
        <v>23</v>
      </c>
      <c r="B30" s="20">
        <v>6.2603064E8</v>
      </c>
      <c r="C30" s="20" t="s">
        <v>163</v>
      </c>
      <c r="D30" s="307">
        <v>2500.0</v>
      </c>
      <c r="E30" s="308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9"/>
      <c r="U30" s="309"/>
      <c r="V30" s="309"/>
      <c r="W30" s="309"/>
      <c r="X30" s="309"/>
      <c r="Y30" s="309"/>
      <c r="Z30" s="309"/>
    </row>
    <row r="31">
      <c r="A31" s="20" t="s">
        <v>23</v>
      </c>
      <c r="B31" s="20">
        <v>6.26030641E8</v>
      </c>
      <c r="C31" s="20" t="s">
        <v>163</v>
      </c>
      <c r="D31" s="307">
        <v>8000.0</v>
      </c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9"/>
      <c r="U31" s="309"/>
      <c r="V31" s="309"/>
      <c r="W31" s="309"/>
      <c r="X31" s="309"/>
      <c r="Y31" s="309"/>
      <c r="Z31" s="309"/>
    </row>
    <row r="32">
      <c r="A32" s="20" t="s">
        <v>23</v>
      </c>
      <c r="B32" s="20">
        <v>6.26030628E8</v>
      </c>
      <c r="C32" s="20" t="s">
        <v>183</v>
      </c>
      <c r="D32" s="307">
        <v>3340.0</v>
      </c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9"/>
      <c r="U32" s="309"/>
      <c r="V32" s="309"/>
      <c r="W32" s="309"/>
      <c r="X32" s="309"/>
      <c r="Y32" s="309"/>
      <c r="Z32" s="309"/>
    </row>
    <row r="33">
      <c r="A33" s="20" t="s">
        <v>23</v>
      </c>
      <c r="B33" s="20">
        <v>6.26030634E8</v>
      </c>
      <c r="C33" s="20" t="s">
        <v>196</v>
      </c>
      <c r="D33" s="307">
        <v>4020.0</v>
      </c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9"/>
      <c r="U33" s="309"/>
      <c r="V33" s="309"/>
      <c r="W33" s="309"/>
      <c r="X33" s="309"/>
      <c r="Y33" s="309"/>
      <c r="Z33" s="309"/>
    </row>
    <row r="34">
      <c r="A34" s="20" t="s">
        <v>23</v>
      </c>
      <c r="B34" s="20">
        <v>6.26030645E8</v>
      </c>
      <c r="C34" s="20" t="s">
        <v>196</v>
      </c>
      <c r="D34" s="20">
        <v>200.0</v>
      </c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9"/>
      <c r="U34" s="309"/>
      <c r="V34" s="309"/>
      <c r="W34" s="309"/>
      <c r="X34" s="309"/>
      <c r="Y34" s="309"/>
      <c r="Z34" s="309"/>
    </row>
    <row r="35">
      <c r="A35" s="20" t="s">
        <v>23</v>
      </c>
      <c r="B35" s="20">
        <v>6.26030653E8</v>
      </c>
      <c r="C35" s="20" t="s">
        <v>202</v>
      </c>
      <c r="D35" s="307">
        <v>5100.0</v>
      </c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9"/>
      <c r="U35" s="309"/>
      <c r="V35" s="309"/>
      <c r="W35" s="309"/>
      <c r="X35" s="309"/>
      <c r="Y35" s="309"/>
      <c r="Z35" s="309"/>
    </row>
    <row r="36">
      <c r="A36" s="20" t="s">
        <v>23</v>
      </c>
      <c r="B36" s="20">
        <v>6.26030651E8</v>
      </c>
      <c r="C36" s="20" t="s">
        <v>170</v>
      </c>
      <c r="D36" s="307">
        <v>3245.0</v>
      </c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9"/>
      <c r="U36" s="309"/>
      <c r="V36" s="309"/>
      <c r="W36" s="309"/>
      <c r="X36" s="309"/>
      <c r="Y36" s="309"/>
      <c r="Z36" s="309"/>
    </row>
    <row r="37">
      <c r="A37" s="20" t="s">
        <v>23</v>
      </c>
      <c r="B37" s="20">
        <v>6.26030655E8</v>
      </c>
      <c r="C37" s="20" t="s">
        <v>170</v>
      </c>
      <c r="D37" s="20">
        <v>60.0</v>
      </c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9"/>
      <c r="U37" s="309"/>
      <c r="V37" s="309"/>
      <c r="W37" s="309"/>
      <c r="X37" s="309"/>
      <c r="Y37" s="309"/>
      <c r="Z37" s="309"/>
    </row>
    <row r="38">
      <c r="A38" s="20" t="s">
        <v>23</v>
      </c>
      <c r="B38" s="20">
        <v>6.26030657E8</v>
      </c>
      <c r="C38" s="20" t="s">
        <v>170</v>
      </c>
      <c r="D38" s="20">
        <v>40.0</v>
      </c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9"/>
      <c r="U38" s="309"/>
      <c r="V38" s="309"/>
      <c r="W38" s="309"/>
      <c r="X38" s="309"/>
      <c r="Y38" s="309"/>
      <c r="Z38" s="309"/>
    </row>
    <row r="39">
      <c r="A39" s="20" t="s">
        <v>23</v>
      </c>
      <c r="B39" s="20">
        <v>6.26030658E8</v>
      </c>
      <c r="C39" s="20" t="s">
        <v>170</v>
      </c>
      <c r="D39" s="20">
        <v>55.0</v>
      </c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9"/>
      <c r="U39" s="309"/>
      <c r="V39" s="309"/>
      <c r="W39" s="309"/>
      <c r="X39" s="309"/>
      <c r="Y39" s="309"/>
      <c r="Z39" s="309"/>
    </row>
    <row r="40">
      <c r="A40" s="20" t="s">
        <v>23</v>
      </c>
      <c r="B40" s="20">
        <v>6.26030656E8</v>
      </c>
      <c r="C40" s="20" t="s">
        <v>122</v>
      </c>
      <c r="D40" s="307">
        <v>1937.0</v>
      </c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9"/>
      <c r="U40" s="309"/>
      <c r="V40" s="309"/>
      <c r="W40" s="309"/>
      <c r="X40" s="309"/>
      <c r="Y40" s="309"/>
      <c r="Z40" s="309"/>
    </row>
    <row r="41">
      <c r="A41" s="88" t="s">
        <v>23</v>
      </c>
      <c r="B41" s="88">
        <v>6.26030633E8</v>
      </c>
      <c r="C41" s="88" t="s">
        <v>216</v>
      </c>
      <c r="D41" s="88">
        <v>300.0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46"/>
      <c r="U41" s="146"/>
      <c r="V41" s="146"/>
      <c r="W41" s="146"/>
      <c r="X41" s="146"/>
      <c r="Y41" s="146"/>
      <c r="Z41" s="146"/>
    </row>
    <row r="42">
      <c r="A42" s="88" t="s">
        <v>23</v>
      </c>
      <c r="B42" s="88">
        <v>6.26030635E8</v>
      </c>
      <c r="C42" s="88" t="s">
        <v>216</v>
      </c>
      <c r="D42" s="88">
        <v>840.0</v>
      </c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46"/>
      <c r="U42" s="146"/>
      <c r="V42" s="146"/>
      <c r="W42" s="146"/>
      <c r="X42" s="146"/>
      <c r="Y42" s="146"/>
      <c r="Z42" s="146"/>
    </row>
    <row r="43">
      <c r="A43" s="88" t="s">
        <v>23</v>
      </c>
      <c r="B43" s="88">
        <v>6.26030652E8</v>
      </c>
      <c r="C43" s="88" t="s">
        <v>332</v>
      </c>
      <c r="D43" s="310">
        <v>1392.0</v>
      </c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46"/>
      <c r="U43" s="146"/>
      <c r="V43" s="146"/>
      <c r="W43" s="146"/>
      <c r="X43" s="146"/>
      <c r="Y43" s="146"/>
      <c r="Z43" s="146"/>
    </row>
    <row r="44">
      <c r="A44" s="88" t="s">
        <v>23</v>
      </c>
      <c r="B44" s="88">
        <v>6.26030661E8</v>
      </c>
      <c r="C44" s="88" t="s">
        <v>332</v>
      </c>
      <c r="D44" s="88">
        <v>588.0</v>
      </c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46"/>
      <c r="U44" s="146"/>
      <c r="V44" s="146"/>
      <c r="W44" s="146"/>
      <c r="X44" s="146"/>
      <c r="Y44" s="146"/>
      <c r="Z44" s="146"/>
    </row>
    <row r="45">
      <c r="A45" s="88" t="s">
        <v>23</v>
      </c>
      <c r="B45" s="88">
        <v>6.26030612E8</v>
      </c>
      <c r="C45" s="88" t="s">
        <v>387</v>
      </c>
      <c r="D45" s="88">
        <v>12.0</v>
      </c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46"/>
      <c r="U45" s="146"/>
      <c r="V45" s="146"/>
      <c r="W45" s="146"/>
      <c r="X45" s="146"/>
      <c r="Y45" s="146"/>
      <c r="Z45" s="146"/>
    </row>
    <row r="46">
      <c r="A46" s="88" t="s">
        <v>23</v>
      </c>
      <c r="B46" s="88">
        <v>6.26030626E8</v>
      </c>
      <c r="C46" s="88" t="s">
        <v>258</v>
      </c>
      <c r="D46" s="310">
        <v>2240.0</v>
      </c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46"/>
      <c r="U46" s="146"/>
      <c r="V46" s="146"/>
      <c r="W46" s="146"/>
      <c r="X46" s="146"/>
      <c r="Y46" s="146"/>
      <c r="Z46" s="146"/>
    </row>
    <row r="47">
      <c r="A47" s="88" t="s">
        <v>23</v>
      </c>
      <c r="B47" s="88">
        <v>6.26030623E8</v>
      </c>
      <c r="C47" s="88" t="s">
        <v>174</v>
      </c>
      <c r="D47" s="310">
        <v>10442.0</v>
      </c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46"/>
      <c r="U47" s="146"/>
      <c r="V47" s="146"/>
      <c r="W47" s="146"/>
      <c r="X47" s="146"/>
      <c r="Y47" s="146"/>
      <c r="Z47" s="146"/>
    </row>
    <row r="48">
      <c r="A48" s="88" t="s">
        <v>23</v>
      </c>
      <c r="B48" s="88">
        <v>6.2603061E8</v>
      </c>
      <c r="C48" s="88" t="s">
        <v>400</v>
      </c>
      <c r="D48" s="88">
        <v>992.0</v>
      </c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46"/>
      <c r="U48" s="146"/>
      <c r="V48" s="146"/>
      <c r="W48" s="146"/>
      <c r="X48" s="146"/>
      <c r="Y48" s="146"/>
      <c r="Z48" s="146"/>
    </row>
    <row r="49">
      <c r="A49" s="88" t="s">
        <v>23</v>
      </c>
      <c r="B49" s="88">
        <v>6.26030615E8</v>
      </c>
      <c r="C49" s="88" t="s">
        <v>166</v>
      </c>
      <c r="D49" s="310">
        <v>12000.0</v>
      </c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46"/>
      <c r="U49" s="146"/>
      <c r="V49" s="146"/>
      <c r="W49" s="146"/>
      <c r="X49" s="146"/>
      <c r="Y49" s="146"/>
      <c r="Z49" s="146"/>
    </row>
    <row r="50">
      <c r="A50" s="88" t="s">
        <v>23</v>
      </c>
      <c r="B50" s="88">
        <v>6.26030614E8</v>
      </c>
      <c r="C50" s="88" t="s">
        <v>322</v>
      </c>
      <c r="D50" s="310">
        <v>15010.0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46"/>
      <c r="U50" s="146"/>
      <c r="V50" s="146"/>
      <c r="W50" s="146"/>
      <c r="X50" s="146"/>
      <c r="Y50" s="146"/>
      <c r="Z50" s="146"/>
    </row>
    <row r="51">
      <c r="A51" s="88" t="s">
        <v>23</v>
      </c>
      <c r="B51" s="88">
        <v>6.26030624E8</v>
      </c>
      <c r="C51" s="88" t="s">
        <v>235</v>
      </c>
      <c r="D51" s="310">
        <v>2080.0</v>
      </c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46"/>
      <c r="U51" s="146"/>
      <c r="V51" s="146"/>
      <c r="W51" s="146"/>
      <c r="X51" s="146"/>
      <c r="Y51" s="146"/>
      <c r="Z51" s="146"/>
    </row>
    <row r="52">
      <c r="A52" s="88" t="s">
        <v>23</v>
      </c>
      <c r="B52" s="88">
        <v>6.2603065E8</v>
      </c>
      <c r="C52" s="88" t="s">
        <v>240</v>
      </c>
      <c r="D52" s="310">
        <v>3896.0</v>
      </c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46"/>
      <c r="U52" s="146"/>
      <c r="V52" s="146"/>
      <c r="W52" s="146"/>
      <c r="X52" s="146"/>
      <c r="Y52" s="146"/>
      <c r="Z52" s="146"/>
    </row>
    <row r="53">
      <c r="A53" s="88" t="s">
        <v>23</v>
      </c>
      <c r="B53" s="88">
        <v>6.26030622E8</v>
      </c>
      <c r="C53" s="88" t="s">
        <v>128</v>
      </c>
      <c r="D53" s="310">
        <v>9000.0</v>
      </c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46"/>
      <c r="U53" s="146"/>
      <c r="V53" s="146"/>
      <c r="W53" s="146"/>
      <c r="X53" s="146"/>
      <c r="Y53" s="146"/>
      <c r="Z53" s="146"/>
    </row>
    <row r="54">
      <c r="A54" s="88" t="s">
        <v>23</v>
      </c>
      <c r="B54" s="88">
        <v>6.26030629E8</v>
      </c>
      <c r="C54" s="88" t="s">
        <v>128</v>
      </c>
      <c r="D54" s="310">
        <v>5588.0</v>
      </c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46"/>
      <c r="U54" s="146"/>
      <c r="V54" s="146"/>
      <c r="W54" s="146"/>
      <c r="X54" s="146"/>
      <c r="Y54" s="146"/>
      <c r="Z54" s="146"/>
    </row>
    <row r="55">
      <c r="A55" s="88" t="s">
        <v>23</v>
      </c>
      <c r="B55" s="88">
        <v>6.26030618E8</v>
      </c>
      <c r="C55" s="88" t="s">
        <v>128</v>
      </c>
      <c r="D55" s="310">
        <v>2400.0</v>
      </c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46"/>
      <c r="U55" s="146"/>
      <c r="V55" s="146"/>
      <c r="W55" s="146"/>
      <c r="X55" s="146"/>
      <c r="Y55" s="146"/>
      <c r="Z55" s="146"/>
    </row>
    <row r="56">
      <c r="A56" s="88" t="s">
        <v>23</v>
      </c>
      <c r="B56" s="88">
        <v>6.26030639E8</v>
      </c>
      <c r="C56" s="88" t="s">
        <v>243</v>
      </c>
      <c r="D56" s="310">
        <v>4096.0</v>
      </c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46"/>
      <c r="U56" s="146"/>
      <c r="V56" s="146"/>
      <c r="W56" s="146"/>
      <c r="X56" s="146"/>
      <c r="Y56" s="146"/>
      <c r="Z56" s="146"/>
    </row>
    <row r="57">
      <c r="A57" s="88" t="s">
        <v>23</v>
      </c>
      <c r="B57" s="88">
        <v>6.26030649E8</v>
      </c>
      <c r="C57" s="88" t="s">
        <v>248</v>
      </c>
      <c r="D57" s="310">
        <v>4408.0</v>
      </c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46"/>
      <c r="U57" s="146"/>
      <c r="V57" s="146"/>
      <c r="W57" s="146"/>
      <c r="X57" s="146"/>
      <c r="Y57" s="146"/>
      <c r="Z57" s="146"/>
    </row>
    <row r="58">
      <c r="A58" s="88" t="s">
        <v>23</v>
      </c>
      <c r="B58" s="88">
        <v>6.26030638E8</v>
      </c>
      <c r="C58" s="88" t="s">
        <v>218</v>
      </c>
      <c r="D58" s="310">
        <v>1300.0</v>
      </c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46"/>
      <c r="U58" s="146"/>
      <c r="V58" s="146"/>
      <c r="W58" s="146"/>
      <c r="X58" s="146"/>
      <c r="Y58" s="146"/>
      <c r="Z58" s="146"/>
    </row>
    <row r="59">
      <c r="A59" s="88" t="s">
        <v>23</v>
      </c>
      <c r="B59" s="88">
        <v>6.26030619E8</v>
      </c>
      <c r="C59" s="88" t="s">
        <v>279</v>
      </c>
      <c r="D59" s="310">
        <v>6000.0</v>
      </c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46"/>
      <c r="U59" s="146"/>
      <c r="V59" s="146"/>
      <c r="W59" s="146"/>
      <c r="X59" s="146"/>
      <c r="Y59" s="146"/>
      <c r="Z59" s="146"/>
    </row>
    <row r="60">
      <c r="A60" s="88" t="s">
        <v>23</v>
      </c>
      <c r="B60" s="88">
        <v>6.26030631E8</v>
      </c>
      <c r="C60" s="88" t="s">
        <v>128</v>
      </c>
      <c r="D60" s="310">
        <v>10000.0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46"/>
      <c r="U60" s="146"/>
      <c r="V60" s="146"/>
      <c r="W60" s="146"/>
      <c r="X60" s="146"/>
      <c r="Y60" s="146"/>
      <c r="Z60" s="146"/>
    </row>
    <row r="61">
      <c r="A61" s="88" t="s">
        <v>23</v>
      </c>
      <c r="B61" s="88">
        <v>6.26030642E8</v>
      </c>
      <c r="C61" s="88" t="s">
        <v>231</v>
      </c>
      <c r="D61" s="310">
        <v>6980.0</v>
      </c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46"/>
      <c r="U61" s="146"/>
      <c r="V61" s="146"/>
      <c r="W61" s="146"/>
      <c r="X61" s="146"/>
      <c r="Y61" s="146"/>
      <c r="Z61" s="146"/>
    </row>
    <row r="62">
      <c r="A62" s="88" t="s">
        <v>23</v>
      </c>
      <c r="B62" s="88">
        <v>6.26030644E8</v>
      </c>
      <c r="C62" s="88" t="s">
        <v>231</v>
      </c>
      <c r="D62" s="310">
        <v>1000.0</v>
      </c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46"/>
      <c r="U62" s="146"/>
      <c r="V62" s="146"/>
      <c r="W62" s="146"/>
      <c r="X62" s="146"/>
      <c r="Y62" s="146"/>
      <c r="Z62" s="146"/>
    </row>
    <row r="63">
      <c r="A63" s="88" t="s">
        <v>23</v>
      </c>
      <c r="B63" s="88">
        <v>6.26030647E8</v>
      </c>
      <c r="C63" s="88" t="s">
        <v>231</v>
      </c>
      <c r="D63" s="310">
        <v>3600.0</v>
      </c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46"/>
      <c r="U63" s="146"/>
      <c r="V63" s="146"/>
      <c r="W63" s="146"/>
      <c r="X63" s="146"/>
      <c r="Y63" s="146"/>
      <c r="Z63" s="146"/>
    </row>
    <row r="64">
      <c r="A64" s="88" t="s">
        <v>23</v>
      </c>
      <c r="B64" s="88">
        <v>6.26030648E8</v>
      </c>
      <c r="C64" s="88" t="s">
        <v>174</v>
      </c>
      <c r="D64" s="310">
        <v>2000.0</v>
      </c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46"/>
      <c r="U64" s="146"/>
      <c r="V64" s="146"/>
      <c r="W64" s="146"/>
      <c r="X64" s="146"/>
      <c r="Y64" s="146"/>
      <c r="Z64" s="146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311">
        <f>SUM(D3:D65)</f>
        <v>293455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</sheetData>
  <autoFilter ref="$A$2:$Z$64"/>
  <drawing r:id="rId1"/>
</worksheet>
</file>